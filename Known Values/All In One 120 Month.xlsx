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B04F72EA-BEB6-4FCF-B00D-6786C6B273D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s" sheetId="1" r:id="rId1"/>
    <sheet name="prc" sheetId="2" r:id="rId2"/>
    <sheet name="ep" sheetId="3" r:id="rId3"/>
    <sheet name="eta" sheetId="4" r:id="rId4"/>
    <sheet name="hour" sheetId="5" r:id="rId5"/>
    <sheet name="Demand" sheetId="6" r:id="rId6"/>
  </sheets>
  <definedNames>
    <definedName name="ep">ep!$B$2:$M$12</definedName>
    <definedName name="eta">eta!$B$2:$M$12</definedName>
    <definedName name="hour">hour!$B$4:$M$14</definedName>
    <definedName name="prc">prc!$B$2:$M$12</definedName>
    <definedName name="Qs">Qs!$B$4:$M$14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2" i="2"/>
  <c r="N5" i="1"/>
  <c r="N6" i="1"/>
  <c r="N7" i="1"/>
  <c r="N8" i="1"/>
  <c r="N9" i="1"/>
  <c r="N10" i="1"/>
  <c r="N11" i="1"/>
  <c r="N12" i="1"/>
  <c r="N13" i="1"/>
  <c r="N4" i="1"/>
  <c r="C2" i="6"/>
  <c r="J8" i="6" s="1"/>
  <c r="I8" i="6" l="1"/>
  <c r="H8" i="6"/>
  <c r="M8" i="6"/>
  <c r="E8" i="6"/>
  <c r="G8" i="6"/>
  <c r="B8" i="6"/>
  <c r="F8" i="6"/>
  <c r="D8" i="6"/>
  <c r="L8" i="6"/>
  <c r="K8" i="6"/>
  <c r="C8" i="6"/>
</calcChain>
</file>

<file path=xl/sharedStrings.xml><?xml version="1.0" encoding="utf-8"?>
<sst xmlns="http://schemas.openxmlformats.org/spreadsheetml/2006/main" count="83" uniqueCount="17">
  <si>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</si>
  <si>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</si>
  <si>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</si>
  <si>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</si>
  <si>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</si>
  <si>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</si>
  <si>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</si>
  <si>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</si>
  <si>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</si>
  <si>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تیر</t>
  </si>
  <si>
    <t>مرداد</t>
  </si>
  <si>
    <t>شهریور</t>
  </si>
  <si>
    <t>روز</t>
  </si>
  <si>
    <t>سال</t>
  </si>
  <si>
    <t>کشاورزی</t>
  </si>
  <si>
    <t>شرب</t>
  </si>
  <si>
    <t>صنعت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</si>
</sst>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86252286645985"/>
          <c:y val="5.4926875694592231E-2"/>
          <c:w val="0.79948858665394096"/>
          <c:h val="0.71065090681232412"/>
        </c:manualLayout>
      </c:layout>
      <c:scatterChart>
        <c:scatterStyle val="smoothMarker"/>
        <c:varyColors val="0"/>
        <c:ser>
          <c:idx val="0"/>
          <c:order val="0"/>
          <c:tx>
            <c:v>حجم آب ورودی به مخزن سد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Qs!$B$16:$DQ$16</c:f>
              <c:numCache>
                <c:formatCode>0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Qs!$B$17:$DQ$17</c:f>
              <c:numCache>
                <c:formatCode>0.000</c:formatCode>
                <c:ptCount val="120"/>
                <c:pt idx="0">
                  <c:v>2.7138239999999993</c:v>
                </c:pt>
                <c:pt idx="1">
                  <c:v>6.3892799999999985</c:v>
                </c:pt>
                <c:pt idx="2">
                  <c:v>10.285055999999999</c:v>
                </c:pt>
                <c:pt idx="3">
                  <c:v>21.000384</c:v>
                </c:pt>
                <c:pt idx="4">
                  <c:v>373.76121600000005</c:v>
                </c:pt>
                <c:pt idx="5">
                  <c:v>320.92727040000005</c:v>
                </c:pt>
                <c:pt idx="6">
                  <c:v>279.68388479999993</c:v>
                </c:pt>
                <c:pt idx="7">
                  <c:v>230.13884160000001</c:v>
                </c:pt>
                <c:pt idx="8">
                  <c:v>42.637449599999997</c:v>
                </c:pt>
                <c:pt idx="9">
                  <c:v>11.1635712</c:v>
                </c:pt>
                <c:pt idx="10">
                  <c:v>4.272047999999999</c:v>
                </c:pt>
                <c:pt idx="11">
                  <c:v>1.5588287999999999</c:v>
                </c:pt>
                <c:pt idx="12">
                  <c:v>3.6676799999999989</c:v>
                </c:pt>
                <c:pt idx="13">
                  <c:v>61.871039999999979</c:v>
                </c:pt>
                <c:pt idx="14">
                  <c:v>30.668544000000001</c:v>
                </c:pt>
                <c:pt idx="15">
                  <c:v>34.706880000000005</c:v>
                </c:pt>
                <c:pt idx="16">
                  <c:v>74.341152000000008</c:v>
                </c:pt>
                <c:pt idx="17">
                  <c:v>136.75815359999999</c:v>
                </c:pt>
                <c:pt idx="18">
                  <c:v>427.90118399999983</c:v>
                </c:pt>
                <c:pt idx="19">
                  <c:v>354.8237183999999</c:v>
                </c:pt>
                <c:pt idx="20">
                  <c:v>63.644140799999988</c:v>
                </c:pt>
                <c:pt idx="21">
                  <c:v>15.451689599999998</c:v>
                </c:pt>
                <c:pt idx="22">
                  <c:v>3.7336895999999995</c:v>
                </c:pt>
                <c:pt idx="23">
                  <c:v>3.0908735999999997</c:v>
                </c:pt>
                <c:pt idx="24">
                  <c:v>3.9942719999999996</c:v>
                </c:pt>
                <c:pt idx="25">
                  <c:v>4.9584959999999993</c:v>
                </c:pt>
                <c:pt idx="26">
                  <c:v>24.875423999999999</c:v>
                </c:pt>
                <c:pt idx="27">
                  <c:v>17.410464000000001</c:v>
                </c:pt>
                <c:pt idx="28">
                  <c:v>23.364287999999995</c:v>
                </c:pt>
                <c:pt idx="29">
                  <c:v>215.23855679999997</c:v>
                </c:pt>
                <c:pt idx="30">
                  <c:v>221.73134399999992</c:v>
                </c:pt>
                <c:pt idx="31">
                  <c:v>40.7947104</c:v>
                </c:pt>
                <c:pt idx="32">
                  <c:v>7.1540063999999992</c:v>
                </c:pt>
                <c:pt idx="33">
                  <c:v>1.4865120000000003</c:v>
                </c:pt>
                <c:pt idx="34">
                  <c:v>0.85173120000000002</c:v>
                </c:pt>
                <c:pt idx="35">
                  <c:v>2.5980479999999995</c:v>
                </c:pt>
                <c:pt idx="36">
                  <c:v>2.3639039999999998</c:v>
                </c:pt>
                <c:pt idx="37">
                  <c:v>16.578431999999996</c:v>
                </c:pt>
                <c:pt idx="38">
                  <c:v>15.207263999999999</c:v>
                </c:pt>
                <c:pt idx="39">
                  <c:v>14.743296000000001</c:v>
                </c:pt>
                <c:pt idx="40">
                  <c:v>36.757151999999998</c:v>
                </c:pt>
                <c:pt idx="41">
                  <c:v>109.8279648</c:v>
                </c:pt>
                <c:pt idx="42">
                  <c:v>224.92399680000003</c:v>
                </c:pt>
                <c:pt idx="43">
                  <c:v>196.25440320000001</c:v>
                </c:pt>
                <c:pt idx="44">
                  <c:v>28.961539199999997</c:v>
                </c:pt>
                <c:pt idx="45">
                  <c:v>4.2372287999999996</c:v>
                </c:pt>
                <c:pt idx="46">
                  <c:v>1.3311648</c:v>
                </c:pt>
                <c:pt idx="47">
                  <c:v>0.42318720000000004</c:v>
                </c:pt>
                <c:pt idx="48">
                  <c:v>3.1518719999999996</c:v>
                </c:pt>
                <c:pt idx="49">
                  <c:v>54.533088000000006</c:v>
                </c:pt>
                <c:pt idx="50">
                  <c:v>61.303391999999974</c:v>
                </c:pt>
                <c:pt idx="51">
                  <c:v>86.658336000000006</c:v>
                </c:pt>
                <c:pt idx="52">
                  <c:v>105.90911999999999</c:v>
                </c:pt>
                <c:pt idx="53">
                  <c:v>349.70158079999987</c:v>
                </c:pt>
                <c:pt idx="54">
                  <c:v>586.8026208</c:v>
                </c:pt>
                <c:pt idx="55">
                  <c:v>749.01991680000003</c:v>
                </c:pt>
                <c:pt idx="56">
                  <c:v>394.68366719999995</c:v>
                </c:pt>
                <c:pt idx="57">
                  <c:v>10.895731199999998</c:v>
                </c:pt>
                <c:pt idx="58">
                  <c:v>0.50621759999999993</c:v>
                </c:pt>
                <c:pt idx="59">
                  <c:v>0.62406719999999993</c:v>
                </c:pt>
                <c:pt idx="60">
                  <c:v>0.87609599999999987</c:v>
                </c:pt>
                <c:pt idx="61">
                  <c:v>2.7138239999999993</c:v>
                </c:pt>
                <c:pt idx="62">
                  <c:v>15.018048</c:v>
                </c:pt>
                <c:pt idx="63">
                  <c:v>29.686176</c:v>
                </c:pt>
                <c:pt idx="64">
                  <c:v>63.986112000000006</c:v>
                </c:pt>
                <c:pt idx="65">
                  <c:v>200.82133440000001</c:v>
                </c:pt>
                <c:pt idx="66">
                  <c:v>235.16084159999997</c:v>
                </c:pt>
                <c:pt idx="67">
                  <c:v>417.91610879999996</c:v>
                </c:pt>
                <c:pt idx="68">
                  <c:v>42.913324799999991</c:v>
                </c:pt>
                <c:pt idx="69">
                  <c:v>7.2986400000000016</c:v>
                </c:pt>
                <c:pt idx="70">
                  <c:v>1.5802560000000001</c:v>
                </c:pt>
                <c:pt idx="71">
                  <c:v>1.392768</c:v>
                </c:pt>
                <c:pt idx="72">
                  <c:v>1.1249279999999999</c:v>
                </c:pt>
                <c:pt idx="73">
                  <c:v>24.826176</c:v>
                </c:pt>
                <c:pt idx="74">
                  <c:v>33.252768000000003</c:v>
                </c:pt>
                <c:pt idx="75">
                  <c:v>44.445024000000011</c:v>
                </c:pt>
                <c:pt idx="76">
                  <c:v>70.059167999999985</c:v>
                </c:pt>
                <c:pt idx="77">
                  <c:v>143.90412479999998</c:v>
                </c:pt>
                <c:pt idx="78">
                  <c:v>785.98451520000003</c:v>
                </c:pt>
                <c:pt idx="79">
                  <c:v>487.9884095999999</c:v>
                </c:pt>
                <c:pt idx="80">
                  <c:v>52.081488</c:v>
                </c:pt>
                <c:pt idx="81">
                  <c:v>11.069827199999999</c:v>
                </c:pt>
                <c:pt idx="82">
                  <c:v>3.8756447999999994</c:v>
                </c:pt>
                <c:pt idx="83">
                  <c:v>0.39640319999999996</c:v>
                </c:pt>
                <c:pt idx="84">
                  <c:v>2.0995199999999992</c:v>
                </c:pt>
                <c:pt idx="85">
                  <c:v>30.435264</c:v>
                </c:pt>
                <c:pt idx="86">
                  <c:v>54.240191999999993</c:v>
                </c:pt>
                <c:pt idx="87">
                  <c:v>56.868479999999998</c:v>
                </c:pt>
                <c:pt idx="88">
                  <c:v>212.81356799999992</c:v>
                </c:pt>
                <c:pt idx="89">
                  <c:v>214.60463999999993</c:v>
                </c:pt>
                <c:pt idx="90">
                  <c:v>247.48951680000002</c:v>
                </c:pt>
                <c:pt idx="91">
                  <c:v>91.526284799999999</c:v>
                </c:pt>
                <c:pt idx="92">
                  <c:v>20.312985600000001</c:v>
                </c:pt>
                <c:pt idx="93">
                  <c:v>1.7356031999999999</c:v>
                </c:pt>
                <c:pt idx="94">
                  <c:v>0.5972831999999999</c:v>
                </c:pt>
                <c:pt idx="95">
                  <c:v>0.57585599999999992</c:v>
                </c:pt>
                <c:pt idx="96">
                  <c:v>0.90460799999999986</c:v>
                </c:pt>
                <c:pt idx="97">
                  <c:v>10.378368</c:v>
                </c:pt>
                <c:pt idx="98">
                  <c:v>56.969567999999995</c:v>
                </c:pt>
                <c:pt idx="99">
                  <c:v>37.384415999999995</c:v>
                </c:pt>
                <c:pt idx="100">
                  <c:v>84.506975999999995</c:v>
                </c:pt>
                <c:pt idx="101">
                  <c:v>212.23935359999996</c:v>
                </c:pt>
                <c:pt idx="102">
                  <c:v>293.00088959999999</c:v>
                </c:pt>
                <c:pt idx="103">
                  <c:v>162.46638719999996</c:v>
                </c:pt>
                <c:pt idx="104">
                  <c:v>13.327718399999998</c:v>
                </c:pt>
                <c:pt idx="105">
                  <c:v>4.7273759999999987</c:v>
                </c:pt>
                <c:pt idx="106">
                  <c:v>0.46068479999999995</c:v>
                </c:pt>
                <c:pt idx="107">
                  <c:v>0.51693119999999992</c:v>
                </c:pt>
                <c:pt idx="108">
                  <c:v>3.3462719999999999</c:v>
                </c:pt>
                <c:pt idx="109">
                  <c:v>25.922591999999998</c:v>
                </c:pt>
                <c:pt idx="110">
                  <c:v>115.05888</c:v>
                </c:pt>
                <c:pt idx="111">
                  <c:v>74.302272000000016</c:v>
                </c:pt>
                <c:pt idx="112">
                  <c:v>154.37433599999997</c:v>
                </c:pt>
                <c:pt idx="113">
                  <c:v>110.67485759999997</c:v>
                </c:pt>
                <c:pt idx="114">
                  <c:v>299.84152319999998</c:v>
                </c:pt>
                <c:pt idx="115">
                  <c:v>148.26283199999997</c:v>
                </c:pt>
                <c:pt idx="116">
                  <c:v>17.690832</c:v>
                </c:pt>
                <c:pt idx="117">
                  <c:v>1.5668639999999996</c:v>
                </c:pt>
                <c:pt idx="118">
                  <c:v>2.2284288000000001</c:v>
                </c:pt>
                <c:pt idx="119">
                  <c:v>3.2087231999999992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A2-48A9-9385-3A44C0C3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401024"/>
        <c:axId val="320399056"/>
      </c:scatterChart>
      <c:valAx>
        <c:axId val="320401024"/>
        <c:scaling>
          <c:orientation val="minMax"/>
          <c:max val="12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RNazanin" panose="02000506000000020002" pitchFamily="2" charset="-78"/>
                    <a:ea typeface="+mn-ea"/>
                    <a:cs typeface="IRNazanin" panose="02000506000000020002" pitchFamily="2" charset="-78"/>
                  </a:defRPr>
                </a:pPr>
                <a:r>
                  <a:rPr lang="fa-IR"/>
                  <a:t>زمان (ماه)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RNazanin" panose="02000506000000020002" pitchFamily="2" charset="-78"/>
                  <a:ea typeface="+mn-ea"/>
                  <a:cs typeface="IRNazanin" panose="02000506000000020002" pitchFamily="2" charset="-78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RNazanin" panose="02000506000000020002" pitchFamily="2" charset="-78"/>
                <a:ea typeface="+mn-ea"/>
                <a:cs typeface="IRNazanin" panose="02000506000000020002" pitchFamily="2" charset="-78"/>
              </a:defRPr>
            </a:pPr>
            <a:endParaRPr lang="en-US"/>
          </a:p>
        </c:txPr>
        <c:crossAx val="320399056"/>
        <c:crosses val="autoZero"/>
        <c:crossBetween val="midCat"/>
        <c:majorUnit val="12"/>
      </c:valAx>
      <c:valAx>
        <c:axId val="320399056"/>
        <c:scaling>
          <c:orientation val="minMax"/>
          <c:max val="8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RNazanin" panose="02000506000000020002" pitchFamily="2" charset="-78"/>
                    <a:ea typeface="+mn-ea"/>
                    <a:cs typeface="IRNazanin" panose="02000506000000020002" pitchFamily="2" charset="-78"/>
                  </a:defRPr>
                </a:pPr>
                <a:r>
                  <a:rPr lang="fa-IR"/>
                  <a:t>حجم آب (میلیون متر مکعب)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RNazanin" panose="02000506000000020002" pitchFamily="2" charset="-78"/>
                  <a:ea typeface="+mn-ea"/>
                  <a:cs typeface="IRNazanin" panose="02000506000000020002" pitchFamily="2" charset="-78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RNazanin" panose="02000506000000020002" pitchFamily="2" charset="-78"/>
                <a:ea typeface="+mn-ea"/>
                <a:cs typeface="IRNazanin" panose="02000506000000020002" pitchFamily="2" charset="-78"/>
              </a:defRPr>
            </a:pPr>
            <a:endParaRPr lang="en-US"/>
          </a:p>
        </c:txPr>
        <c:crossAx val="3204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300">
          <a:solidFill>
            <a:schemeClr val="tx1">
              <a:lumMod val="95000"/>
              <a:lumOff val="5000"/>
            </a:schemeClr>
          </a:solidFill>
          <a:latin typeface="IRNazanin" panose="02000506000000020002" pitchFamily="2" charset="-78"/>
          <a:cs typeface="IRNazanin" panose="02000506000000020002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prc!$B$15:$DQ$15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prc!$B$16:$DQ$16</c:f>
              <c:numCache>
                <c:formatCode>General</c:formatCode>
                <c:ptCount val="120"/>
                <c:pt idx="0">
                  <c:v>4</c:v>
                </c:pt>
                <c:pt idx="1">
                  <c:v>19</c:v>
                </c:pt>
                <c:pt idx="2">
                  <c:v>13.5</c:v>
                </c:pt>
                <c:pt idx="3">
                  <c:v>37</c:v>
                </c:pt>
                <c:pt idx="4">
                  <c:v>76</c:v>
                </c:pt>
                <c:pt idx="5">
                  <c:v>23</c:v>
                </c:pt>
                <c:pt idx="6">
                  <c:v>57.5</c:v>
                </c:pt>
                <c:pt idx="7">
                  <c:v>70.5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23.5</c:v>
                </c:pt>
                <c:pt idx="13">
                  <c:v>135</c:v>
                </c:pt>
                <c:pt idx="14">
                  <c:v>2</c:v>
                </c:pt>
                <c:pt idx="15">
                  <c:v>14</c:v>
                </c:pt>
                <c:pt idx="16">
                  <c:v>40</c:v>
                </c:pt>
                <c:pt idx="17">
                  <c:v>34.5</c:v>
                </c:pt>
                <c:pt idx="18">
                  <c:v>76</c:v>
                </c:pt>
                <c:pt idx="19">
                  <c:v>22</c:v>
                </c:pt>
                <c:pt idx="20">
                  <c:v>6</c:v>
                </c:pt>
                <c:pt idx="21">
                  <c:v>0</c:v>
                </c:pt>
                <c:pt idx="22">
                  <c:v>1.5</c:v>
                </c:pt>
                <c:pt idx="23">
                  <c:v>2</c:v>
                </c:pt>
                <c:pt idx="24">
                  <c:v>3</c:v>
                </c:pt>
                <c:pt idx="25">
                  <c:v>0</c:v>
                </c:pt>
                <c:pt idx="26">
                  <c:v>14.5</c:v>
                </c:pt>
                <c:pt idx="27">
                  <c:v>0</c:v>
                </c:pt>
                <c:pt idx="28">
                  <c:v>45</c:v>
                </c:pt>
                <c:pt idx="29">
                  <c:v>35</c:v>
                </c:pt>
                <c:pt idx="30">
                  <c:v>2.5</c:v>
                </c:pt>
                <c:pt idx="31">
                  <c:v>12</c:v>
                </c:pt>
                <c:pt idx="32">
                  <c:v>2</c:v>
                </c:pt>
                <c:pt idx="33">
                  <c:v>3</c:v>
                </c:pt>
                <c:pt idx="34">
                  <c:v>0</c:v>
                </c:pt>
                <c:pt idx="35">
                  <c:v>17.5</c:v>
                </c:pt>
                <c:pt idx="36">
                  <c:v>16</c:v>
                </c:pt>
                <c:pt idx="37">
                  <c:v>97</c:v>
                </c:pt>
                <c:pt idx="38">
                  <c:v>1</c:v>
                </c:pt>
                <c:pt idx="39">
                  <c:v>1</c:v>
                </c:pt>
                <c:pt idx="40">
                  <c:v>23.5</c:v>
                </c:pt>
                <c:pt idx="41">
                  <c:v>9</c:v>
                </c:pt>
                <c:pt idx="42">
                  <c:v>17</c:v>
                </c:pt>
                <c:pt idx="43">
                  <c:v>28</c:v>
                </c:pt>
                <c:pt idx="44">
                  <c:v>2.5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17.5</c:v>
                </c:pt>
                <c:pt idx="49">
                  <c:v>73</c:v>
                </c:pt>
                <c:pt idx="50">
                  <c:v>18.5</c:v>
                </c:pt>
                <c:pt idx="51">
                  <c:v>21</c:v>
                </c:pt>
                <c:pt idx="52">
                  <c:v>62.5</c:v>
                </c:pt>
                <c:pt idx="53">
                  <c:v>33.5</c:v>
                </c:pt>
                <c:pt idx="54">
                  <c:v>47.5</c:v>
                </c:pt>
                <c:pt idx="55">
                  <c:v>67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</c:v>
                </c:pt>
                <c:pt idx="62">
                  <c:v>2</c:v>
                </c:pt>
                <c:pt idx="63">
                  <c:v>50</c:v>
                </c:pt>
                <c:pt idx="64">
                  <c:v>6.5</c:v>
                </c:pt>
                <c:pt idx="65">
                  <c:v>63</c:v>
                </c:pt>
                <c:pt idx="66">
                  <c:v>38.5</c:v>
                </c:pt>
                <c:pt idx="67">
                  <c:v>109</c:v>
                </c:pt>
                <c:pt idx="68">
                  <c:v>2</c:v>
                </c:pt>
                <c:pt idx="69">
                  <c:v>0</c:v>
                </c:pt>
                <c:pt idx="70">
                  <c:v>0.5</c:v>
                </c:pt>
                <c:pt idx="71">
                  <c:v>1.5</c:v>
                </c:pt>
                <c:pt idx="72">
                  <c:v>6.5</c:v>
                </c:pt>
                <c:pt idx="73">
                  <c:v>35.5</c:v>
                </c:pt>
                <c:pt idx="74">
                  <c:v>1.5</c:v>
                </c:pt>
                <c:pt idx="75">
                  <c:v>13</c:v>
                </c:pt>
                <c:pt idx="76">
                  <c:v>2.5</c:v>
                </c:pt>
                <c:pt idx="77">
                  <c:v>33.5</c:v>
                </c:pt>
                <c:pt idx="78">
                  <c:v>37</c:v>
                </c:pt>
                <c:pt idx="79">
                  <c:v>45.5</c:v>
                </c:pt>
                <c:pt idx="80">
                  <c:v>6</c:v>
                </c:pt>
                <c:pt idx="81">
                  <c:v>3</c:v>
                </c:pt>
                <c:pt idx="82">
                  <c:v>0</c:v>
                </c:pt>
                <c:pt idx="83">
                  <c:v>4.5</c:v>
                </c:pt>
                <c:pt idx="84">
                  <c:v>5</c:v>
                </c:pt>
                <c:pt idx="85">
                  <c:v>89</c:v>
                </c:pt>
                <c:pt idx="86">
                  <c:v>45.5</c:v>
                </c:pt>
                <c:pt idx="87">
                  <c:v>23.5</c:v>
                </c:pt>
                <c:pt idx="88">
                  <c:v>22.5</c:v>
                </c:pt>
                <c:pt idx="89">
                  <c:v>31.5</c:v>
                </c:pt>
                <c:pt idx="90">
                  <c:v>15.5</c:v>
                </c:pt>
                <c:pt idx="91">
                  <c:v>13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8</c:v>
                </c:pt>
                <c:pt idx="96">
                  <c:v>2</c:v>
                </c:pt>
                <c:pt idx="97">
                  <c:v>45.5</c:v>
                </c:pt>
                <c:pt idx="98">
                  <c:v>44</c:v>
                </c:pt>
                <c:pt idx="99">
                  <c:v>3.5</c:v>
                </c:pt>
                <c:pt idx="100">
                  <c:v>37.5</c:v>
                </c:pt>
                <c:pt idx="101">
                  <c:v>58</c:v>
                </c:pt>
                <c:pt idx="102">
                  <c:v>17.5</c:v>
                </c:pt>
                <c:pt idx="103">
                  <c:v>19.5</c:v>
                </c:pt>
                <c:pt idx="104">
                  <c:v>2</c:v>
                </c:pt>
                <c:pt idx="105">
                  <c:v>4</c:v>
                </c:pt>
                <c:pt idx="106">
                  <c:v>1.5</c:v>
                </c:pt>
                <c:pt idx="107">
                  <c:v>0</c:v>
                </c:pt>
                <c:pt idx="108">
                  <c:v>83.5</c:v>
                </c:pt>
                <c:pt idx="109">
                  <c:v>41</c:v>
                </c:pt>
                <c:pt idx="110">
                  <c:v>56</c:v>
                </c:pt>
                <c:pt idx="111">
                  <c:v>2.5</c:v>
                </c:pt>
                <c:pt idx="112">
                  <c:v>29.5</c:v>
                </c:pt>
                <c:pt idx="113">
                  <c:v>14</c:v>
                </c:pt>
                <c:pt idx="114">
                  <c:v>30</c:v>
                </c:pt>
                <c:pt idx="115">
                  <c:v>26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97-43D8-9CF8-CD700B73B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408032"/>
        <c:axId val="318408688"/>
      </c:scatterChart>
      <c:valAx>
        <c:axId val="318408032"/>
        <c:scaling>
          <c:orientation val="minMax"/>
          <c:max val="12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RNazanin" panose="02000506000000020002" pitchFamily="2" charset="-78"/>
                    <a:ea typeface="+mn-ea"/>
                    <a:cs typeface="IRNazanin" panose="02000506000000020002" pitchFamily="2" charset="-78"/>
                  </a:defRPr>
                </a:pPr>
                <a:r>
                  <a:rPr lang="fa-IR"/>
                  <a:t>زمان (ماه)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RNazanin" panose="02000506000000020002" pitchFamily="2" charset="-78"/>
                  <a:ea typeface="+mn-ea"/>
                  <a:cs typeface="IRNazanin" panose="02000506000000020002" pitchFamily="2" charset="-78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RNazanin" panose="02000506000000020002" pitchFamily="2" charset="-78"/>
                <a:ea typeface="+mn-ea"/>
                <a:cs typeface="IRNazanin" panose="02000506000000020002" pitchFamily="2" charset="-78"/>
              </a:defRPr>
            </a:pPr>
            <a:endParaRPr lang="en-US"/>
          </a:p>
        </c:txPr>
        <c:crossAx val="318408688"/>
        <c:crosses val="autoZero"/>
        <c:crossBetween val="midCat"/>
        <c:majorUnit val="12"/>
      </c:valAx>
      <c:valAx>
        <c:axId val="318408688"/>
        <c:scaling>
          <c:orientation val="minMax"/>
          <c:max val="14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RNazanin" panose="02000506000000020002" pitchFamily="2" charset="-78"/>
                    <a:ea typeface="+mn-ea"/>
                    <a:cs typeface="IRNazanin" panose="02000506000000020002" pitchFamily="2" charset="-78"/>
                  </a:defRPr>
                </a:pPr>
                <a:r>
                  <a:rPr lang="fa-IR"/>
                  <a:t>ارتفاع بارش (میلیمتر)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RNazanin" panose="02000506000000020002" pitchFamily="2" charset="-78"/>
                  <a:ea typeface="+mn-ea"/>
                  <a:cs typeface="IRNazanin" panose="02000506000000020002" pitchFamily="2" charset="-78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RNazanin" panose="02000506000000020002" pitchFamily="2" charset="-78"/>
                <a:ea typeface="+mn-ea"/>
                <a:cs typeface="IRNazanin" panose="02000506000000020002" pitchFamily="2" charset="-78"/>
              </a:defRPr>
            </a:pPr>
            <a:endParaRPr lang="en-US"/>
          </a:p>
        </c:txPr>
        <c:crossAx val="31840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300">
          <a:solidFill>
            <a:schemeClr val="tx1">
              <a:lumMod val="95000"/>
              <a:lumOff val="5000"/>
            </a:schemeClr>
          </a:solidFill>
          <a:latin typeface="IRNazanin" panose="02000506000000020002" pitchFamily="2" charset="-78"/>
          <a:cs typeface="IRNazanin" panose="02000506000000020002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ep!$B$15:$DQ$15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ep!$B$16:$DQ$16</c:f>
              <c:numCache>
                <c:formatCode>General</c:formatCode>
                <c:ptCount val="120"/>
                <c:pt idx="0">
                  <c:v>228.7</c:v>
                </c:pt>
                <c:pt idx="1">
                  <c:v>111.9</c:v>
                </c:pt>
                <c:pt idx="2">
                  <c:v>86.8</c:v>
                </c:pt>
                <c:pt idx="3">
                  <c:v>10.7</c:v>
                </c:pt>
                <c:pt idx="4">
                  <c:v>0</c:v>
                </c:pt>
                <c:pt idx="5">
                  <c:v>0</c:v>
                </c:pt>
                <c:pt idx="6">
                  <c:v>54.9</c:v>
                </c:pt>
                <c:pt idx="7">
                  <c:v>177.6</c:v>
                </c:pt>
                <c:pt idx="8">
                  <c:v>321.7</c:v>
                </c:pt>
                <c:pt idx="9">
                  <c:v>387.1</c:v>
                </c:pt>
                <c:pt idx="10">
                  <c:v>376.9</c:v>
                </c:pt>
                <c:pt idx="11">
                  <c:v>300.2</c:v>
                </c:pt>
                <c:pt idx="12">
                  <c:v>203.1</c:v>
                </c:pt>
                <c:pt idx="13">
                  <c:v>69.5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4.8</c:v>
                </c:pt>
                <c:pt idx="19">
                  <c:v>165.3</c:v>
                </c:pt>
                <c:pt idx="20">
                  <c:v>274.60000000000002</c:v>
                </c:pt>
                <c:pt idx="21">
                  <c:v>334.4</c:v>
                </c:pt>
                <c:pt idx="22">
                  <c:v>332.7</c:v>
                </c:pt>
                <c:pt idx="23">
                  <c:v>299.7</c:v>
                </c:pt>
                <c:pt idx="24">
                  <c:v>198.3</c:v>
                </c:pt>
                <c:pt idx="25">
                  <c:v>110.1</c:v>
                </c:pt>
                <c:pt idx="26">
                  <c:v>41.7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155.80000000000001</c:v>
                </c:pt>
                <c:pt idx="31">
                  <c:v>259.60000000000002</c:v>
                </c:pt>
                <c:pt idx="32">
                  <c:v>353.7</c:v>
                </c:pt>
                <c:pt idx="33">
                  <c:v>385.3</c:v>
                </c:pt>
                <c:pt idx="34">
                  <c:v>426.9</c:v>
                </c:pt>
                <c:pt idx="35">
                  <c:v>302.10000000000002</c:v>
                </c:pt>
                <c:pt idx="36">
                  <c:v>211.8</c:v>
                </c:pt>
                <c:pt idx="37">
                  <c:v>76.400000000000006</c:v>
                </c:pt>
                <c:pt idx="38">
                  <c:v>36.9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72</c:v>
                </c:pt>
                <c:pt idx="43">
                  <c:v>199.4</c:v>
                </c:pt>
                <c:pt idx="44">
                  <c:v>313.60000000000002</c:v>
                </c:pt>
                <c:pt idx="45">
                  <c:v>411</c:v>
                </c:pt>
                <c:pt idx="46">
                  <c:v>323.3</c:v>
                </c:pt>
                <c:pt idx="47">
                  <c:v>449.6</c:v>
                </c:pt>
                <c:pt idx="48">
                  <c:v>195.6</c:v>
                </c:pt>
                <c:pt idx="49">
                  <c:v>78.099999999999994</c:v>
                </c:pt>
                <c:pt idx="50">
                  <c:v>25.3</c:v>
                </c:pt>
                <c:pt idx="51">
                  <c:v>31.3</c:v>
                </c:pt>
                <c:pt idx="52">
                  <c:v>0</c:v>
                </c:pt>
                <c:pt idx="53">
                  <c:v>90.9</c:v>
                </c:pt>
                <c:pt idx="54">
                  <c:v>106</c:v>
                </c:pt>
                <c:pt idx="55">
                  <c:v>170.3</c:v>
                </c:pt>
                <c:pt idx="56">
                  <c:v>331</c:v>
                </c:pt>
                <c:pt idx="57">
                  <c:v>443.3</c:v>
                </c:pt>
                <c:pt idx="58">
                  <c:v>447.4</c:v>
                </c:pt>
                <c:pt idx="59">
                  <c:v>373.6</c:v>
                </c:pt>
                <c:pt idx="60">
                  <c:v>231.5</c:v>
                </c:pt>
                <c:pt idx="61">
                  <c:v>77.900000000000006</c:v>
                </c:pt>
                <c:pt idx="62">
                  <c:v>10.5</c:v>
                </c:pt>
                <c:pt idx="63">
                  <c:v>28.3</c:v>
                </c:pt>
                <c:pt idx="64">
                  <c:v>0</c:v>
                </c:pt>
                <c:pt idx="65">
                  <c:v>0</c:v>
                </c:pt>
                <c:pt idx="66">
                  <c:v>94.1</c:v>
                </c:pt>
                <c:pt idx="67">
                  <c:v>183.7</c:v>
                </c:pt>
                <c:pt idx="68">
                  <c:v>330.4</c:v>
                </c:pt>
                <c:pt idx="69">
                  <c:v>369</c:v>
                </c:pt>
                <c:pt idx="70">
                  <c:v>413</c:v>
                </c:pt>
                <c:pt idx="71">
                  <c:v>309.60000000000002</c:v>
                </c:pt>
                <c:pt idx="72">
                  <c:v>268.8</c:v>
                </c:pt>
                <c:pt idx="73">
                  <c:v>129.4</c:v>
                </c:pt>
                <c:pt idx="74">
                  <c:v>77</c:v>
                </c:pt>
                <c:pt idx="75">
                  <c:v>27.6</c:v>
                </c:pt>
                <c:pt idx="76">
                  <c:v>0</c:v>
                </c:pt>
                <c:pt idx="77">
                  <c:v>42.7</c:v>
                </c:pt>
                <c:pt idx="78">
                  <c:v>107.5</c:v>
                </c:pt>
                <c:pt idx="79">
                  <c:v>140.5</c:v>
                </c:pt>
                <c:pt idx="80">
                  <c:v>277.3</c:v>
                </c:pt>
                <c:pt idx="81">
                  <c:v>370.2</c:v>
                </c:pt>
                <c:pt idx="82">
                  <c:v>394.5</c:v>
                </c:pt>
                <c:pt idx="83">
                  <c:v>343.6</c:v>
                </c:pt>
                <c:pt idx="84">
                  <c:v>196.1</c:v>
                </c:pt>
                <c:pt idx="85">
                  <c:v>91.4</c:v>
                </c:pt>
                <c:pt idx="86">
                  <c:v>40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165.1</c:v>
                </c:pt>
                <c:pt idx="91">
                  <c:v>170.2</c:v>
                </c:pt>
                <c:pt idx="92">
                  <c:v>279.5</c:v>
                </c:pt>
                <c:pt idx="93">
                  <c:v>385.9</c:v>
                </c:pt>
                <c:pt idx="94">
                  <c:v>385.8</c:v>
                </c:pt>
                <c:pt idx="95">
                  <c:v>390.2</c:v>
                </c:pt>
                <c:pt idx="96">
                  <c:v>315</c:v>
                </c:pt>
                <c:pt idx="97">
                  <c:v>125.7</c:v>
                </c:pt>
                <c:pt idx="98">
                  <c:v>63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132.30000000000001</c:v>
                </c:pt>
                <c:pt idx="103">
                  <c:v>206.2</c:v>
                </c:pt>
                <c:pt idx="104">
                  <c:v>307.3</c:v>
                </c:pt>
                <c:pt idx="105">
                  <c:v>431.6</c:v>
                </c:pt>
                <c:pt idx="106">
                  <c:v>386.3</c:v>
                </c:pt>
                <c:pt idx="107">
                  <c:v>344.6</c:v>
                </c:pt>
                <c:pt idx="108">
                  <c:v>213.6</c:v>
                </c:pt>
                <c:pt idx="109">
                  <c:v>103.7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105.1</c:v>
                </c:pt>
                <c:pt idx="115">
                  <c:v>239.8</c:v>
                </c:pt>
                <c:pt idx="116">
                  <c:v>351</c:v>
                </c:pt>
                <c:pt idx="117">
                  <c:v>373.2</c:v>
                </c:pt>
                <c:pt idx="118">
                  <c:v>360.3</c:v>
                </c:pt>
                <c:pt idx="119">
                  <c:v>293.7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16-4F5F-9E3D-633C3BE76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401144"/>
        <c:axId val="318401472"/>
      </c:scatterChart>
      <c:valAx>
        <c:axId val="318401144"/>
        <c:scaling>
          <c:orientation val="minMax"/>
          <c:max val="12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RNazanin" panose="02000506000000020002" pitchFamily="2" charset="-78"/>
                    <a:ea typeface="+mn-ea"/>
                    <a:cs typeface="IRNazanin" panose="02000506000000020002" pitchFamily="2" charset="-78"/>
                  </a:defRPr>
                </a:pPr>
                <a:r>
                  <a:rPr lang="fa-IR"/>
                  <a:t>زمان (ماه)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RNazanin" panose="02000506000000020002" pitchFamily="2" charset="-78"/>
                  <a:ea typeface="+mn-ea"/>
                  <a:cs typeface="IRNazanin" panose="02000506000000020002" pitchFamily="2" charset="-78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RNazanin" panose="02000506000000020002" pitchFamily="2" charset="-78"/>
                <a:ea typeface="+mn-ea"/>
                <a:cs typeface="IRNazanin" panose="02000506000000020002" pitchFamily="2" charset="-78"/>
              </a:defRPr>
            </a:pPr>
            <a:endParaRPr lang="en-US"/>
          </a:p>
        </c:txPr>
        <c:crossAx val="318401472"/>
        <c:crosses val="autoZero"/>
        <c:crossBetween val="midCat"/>
        <c:majorUnit val="12"/>
      </c:valAx>
      <c:valAx>
        <c:axId val="31840147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RNazanin" panose="02000506000000020002" pitchFamily="2" charset="-78"/>
                    <a:ea typeface="+mn-ea"/>
                    <a:cs typeface="IRNazanin" panose="02000506000000020002" pitchFamily="2" charset="-78"/>
                  </a:defRPr>
                </a:pPr>
                <a:r>
                  <a:rPr lang="fa-IR"/>
                  <a:t>ارتفاع تبخیر (میلیمتر)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RNazanin" panose="02000506000000020002" pitchFamily="2" charset="-78"/>
                  <a:ea typeface="+mn-ea"/>
                  <a:cs typeface="IRNazanin" panose="02000506000000020002" pitchFamily="2" charset="-78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IRNazanin" panose="02000506000000020002" pitchFamily="2" charset="-78"/>
                <a:ea typeface="+mn-ea"/>
                <a:cs typeface="IRNazanin" panose="02000506000000020002" pitchFamily="2" charset="-78"/>
              </a:defRPr>
            </a:pPr>
            <a:endParaRPr lang="en-US"/>
          </a:p>
        </c:txPr>
        <c:crossAx val="318401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300">
          <a:solidFill>
            <a:schemeClr val="tx1">
              <a:lumMod val="95000"/>
              <a:lumOff val="5000"/>
            </a:schemeClr>
          </a:solidFill>
          <a:latin typeface="IRNazanin" panose="02000506000000020002" pitchFamily="2" charset="-78"/>
          <a:cs typeface="IRNazanin" panose="02000506000000020002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Demand!$B$6</c:f>
              <c:strCache>
                <c:ptCount val="1"/>
                <c:pt idx="0">
                  <c:v>مهر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Demand!$B$8</c:f>
              <c:numCache>
                <c:formatCode>0.0</c:formatCode>
                <c:ptCount val="1"/>
                <c:pt idx="0">
                  <c:v>65.868600000000001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B-4E00-BE55-89A79FA3082A}"/>
            </c:ext>
          </c:extLst>
        </c:ser>
        <c:ser>
          <c:idx val="1"/>
          <c:order val="1"/>
          <c:tx>
            <c:strRef>
              <c:f>Demand!$C$6</c:f>
              <c:strCache>
                <c:ptCount val="1"/>
                <c:pt idx="0">
                  <c:v>آبان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Demand!$C$8</c:f>
              <c:numCache>
                <c:formatCode>0.0</c:formatCode>
                <c:ptCount val="1"/>
                <c:pt idx="0">
                  <c:v>43.912399999999998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B-4E00-BE55-89A79FA3082A}"/>
            </c:ext>
          </c:extLst>
        </c:ser>
        <c:ser>
          <c:idx val="2"/>
          <c:order val="2"/>
          <c:tx>
            <c:strRef>
              <c:f>Demand!$D$6</c:f>
              <c:strCache>
                <c:ptCount val="1"/>
                <c:pt idx="0">
                  <c:v>آذر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Demand!$D$8</c:f>
              <c:numCache>
                <c:formatCode>0.0</c:formatCode>
                <c:ptCount val="1"/>
                <c:pt idx="0">
                  <c:v>32.9343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BB-4E00-BE55-89A79FA3082A}"/>
            </c:ext>
          </c:extLst>
        </c:ser>
        <c:ser>
          <c:idx val="3"/>
          <c:order val="3"/>
          <c:tx>
            <c:strRef>
              <c:f>Demand!$E$6</c:f>
              <c:strCache>
                <c:ptCount val="1"/>
                <c:pt idx="0">
                  <c:v>دی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Demand!$E$8</c:f>
              <c:numCache>
                <c:formatCode>0.0</c:formatCode>
                <c:ptCount val="1"/>
                <c:pt idx="0">
                  <c:v>43.912399999999998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BB-4E00-BE55-89A79FA3082A}"/>
            </c:ext>
          </c:extLst>
        </c:ser>
        <c:ser>
          <c:idx val="4"/>
          <c:order val="4"/>
          <c:tx>
            <c:strRef>
              <c:f>Demand!$F$6</c:f>
              <c:strCache>
                <c:ptCount val="1"/>
                <c:pt idx="0">
                  <c:v>بهمن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Demand!$F$8</c:f>
              <c:numCache>
                <c:formatCode>0.0</c:formatCode>
                <c:ptCount val="1"/>
                <c:pt idx="0">
                  <c:v>32.9343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BB-4E00-BE55-89A79FA3082A}"/>
            </c:ext>
          </c:extLst>
        </c:ser>
        <c:ser>
          <c:idx val="5"/>
          <c:order val="5"/>
          <c:tx>
            <c:strRef>
              <c:f>Demand!$G$6</c:f>
              <c:strCache>
                <c:ptCount val="1"/>
                <c:pt idx="0">
                  <c:v>اسفند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Demand!$G$8</c:f>
              <c:numCache>
                <c:formatCode>0.0</c:formatCode>
                <c:ptCount val="1"/>
                <c:pt idx="0">
                  <c:v>65.868600000000001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BB-4E00-BE55-89A79FA3082A}"/>
            </c:ext>
          </c:extLst>
        </c:ser>
        <c:ser>
          <c:idx val="6"/>
          <c:order val="6"/>
          <c:tx>
            <c:strRef>
              <c:f>Demand!$H$6</c:f>
              <c:strCache>
                <c:ptCount val="1"/>
                <c:pt idx="0">
                  <c:v>فروردین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Demand!$H$8</c:f>
              <c:numCache>
                <c:formatCode>0.0</c:formatCode>
                <c:ptCount val="1"/>
                <c:pt idx="0">
                  <c:v>76.846699999999998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BB-4E00-BE55-89A79FA3082A}"/>
            </c:ext>
          </c:extLst>
        </c:ser>
        <c:ser>
          <c:idx val="7"/>
          <c:order val="7"/>
          <c:tx>
            <c:strRef>
              <c:f>Demand!$I$6</c:f>
              <c:strCache>
                <c:ptCount val="1"/>
                <c:pt idx="0">
                  <c:v>اردیبهشت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Demand!$I$8</c:f>
              <c:numCache>
                <c:formatCode>0.0</c:formatCode>
                <c:ptCount val="1"/>
                <c:pt idx="0">
                  <c:v>109.78100000000001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BB-4E00-BE55-89A79FA3082A}"/>
            </c:ext>
          </c:extLst>
        </c:ser>
        <c:ser>
          <c:idx val="8"/>
          <c:order val="8"/>
          <c:tx>
            <c:strRef>
              <c:f>Demand!$J$6</c:f>
              <c:strCache>
                <c:ptCount val="1"/>
                <c:pt idx="0">
                  <c:v>خرداد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Demand!$J$8</c:f>
              <c:numCache>
                <c:formatCode>0.0</c:formatCode>
                <c:ptCount val="1"/>
                <c:pt idx="0">
                  <c:v>142.71529999999998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BB-4E00-BE55-89A79FA3082A}"/>
            </c:ext>
          </c:extLst>
        </c:ser>
        <c:ser>
          <c:idx val="9"/>
          <c:order val="9"/>
          <c:tx>
            <c:strRef>
              <c:f>Demand!$K$6</c:f>
              <c:strCache>
                <c:ptCount val="1"/>
                <c:pt idx="0">
                  <c:v>تیر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Demand!$K$8</c:f>
              <c:numCache>
                <c:formatCode>0.0</c:formatCode>
                <c:ptCount val="1"/>
                <c:pt idx="0">
                  <c:v>186.6277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BB-4E00-BE55-89A79FA3082A}"/>
            </c:ext>
          </c:extLst>
        </c:ser>
        <c:ser>
          <c:idx val="10"/>
          <c:order val="10"/>
          <c:tx>
            <c:strRef>
              <c:f>Demand!$L$6</c:f>
              <c:strCache>
                <c:ptCount val="1"/>
                <c:pt idx="0">
                  <c:v>مرداد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Demand!$L$8</c:f>
              <c:numCache>
                <c:formatCode>0.0</c:formatCode>
                <c:ptCount val="1"/>
                <c:pt idx="0">
                  <c:v>197.60579999999999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BB-4E00-BE55-89A79FA3082A}"/>
            </c:ext>
          </c:extLst>
        </c:ser>
        <c:ser>
          <c:idx val="11"/>
          <c:order val="11"/>
          <c:tx>
            <c:strRef>
              <c:f>Demand!$M$6</c:f>
              <c:strCache>
                <c:ptCount val="1"/>
                <c:pt idx="0">
                  <c:v>شهریور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Demand!$M$8</c:f>
              <c:numCache>
                <c:formatCode>0.0</c:formatCode>
                <c:ptCount val="1"/>
                <c:pt idx="0">
                  <c:v>98.802899999999994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8BB-4E00-BE55-89A79FA30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6617384"/>
        <c:axId val="436619024"/>
      </c:barChart>
      <c:catAx>
        <c:axId val="4366173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36619024"/>
        <c:crosses val="autoZero"/>
        <c:auto val="1"/>
        <c:lblAlgn val="ctr"/>
        <c:lblOffset val="100"/>
        <c:noMultiLvlLbl val="0"/>
      </c:catAx>
      <c:valAx>
        <c:axId val="4366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1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19</xdr:row>
      <xdr:rowOff>7620</xdr:rowOff>
    </xdr:from>
    <xdr:to>
      <xdr:col>12</xdr:col>
      <xdr:colOff>327660</xdr:colOff>
      <xdr:row>39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FD6D9C-B679-43E8-B729-E7BB13A9A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17</xdr:row>
      <xdr:rowOff>38100</xdr:rowOff>
    </xdr:from>
    <xdr:to>
      <xdr:col>13</xdr:col>
      <xdr:colOff>30480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818794-8CBF-4DA7-917B-1FFF8C7A1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17</xdr:row>
      <xdr:rowOff>30480</xdr:rowOff>
    </xdr:from>
    <xdr:to>
      <xdr:col>13</xdr:col>
      <xdr:colOff>22860</xdr:colOff>
      <xdr:row>37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2F328-A00E-4D2F-8BAC-825C1013D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9</xdr:row>
      <xdr:rowOff>7620</xdr:rowOff>
    </xdr:from>
    <xdr:to>
      <xdr:col>12</xdr:col>
      <xdr:colOff>396240</xdr:colOff>
      <xdr:row>29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CFEA2-089E-4614-B1CD-71B3FC159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8"/>
  <sheetViews>
    <sheetView tabSelected="1" workbookViewId="0">
      <selection activeCell="D16" sqref="D16"/>
    </sheetView>
  </sheetViews>
  <sheetFormatPr defaultRowHeight="14.4" x14ac:dyDescent="0.3"/>
  <cols>
    <col min="2" max="3" width="9" bestFit="1" customWidth="1"/>
    <col min="4" max="4" width="9.5546875" bestFit="1" customWidth="1"/>
    <col min="5" max="5" width="9" bestFit="1" customWidth="1"/>
    <col min="6" max="10" width="9.5546875" bestFit="1" customWidth="1"/>
    <col min="11" max="13" width="9" bestFit="1" customWidth="1"/>
  </cols>
  <sheetData>
    <row r="1" spans="1:12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21" x14ac:dyDescent="0.3">
      <c r="A2" s="1" t="s">
        <v>12</v>
      </c>
      <c r="B2" s="8">
        <v>30</v>
      </c>
      <c r="C2" s="8">
        <v>30</v>
      </c>
      <c r="D2" s="8">
        <v>30</v>
      </c>
      <c r="E2" s="8">
        <v>30</v>
      </c>
      <c r="F2" s="8">
        <v>30</v>
      </c>
      <c r="G2" s="8">
        <v>29</v>
      </c>
      <c r="H2" s="8">
        <v>31</v>
      </c>
      <c r="I2" s="8">
        <v>31</v>
      </c>
      <c r="J2" s="8">
        <v>31</v>
      </c>
      <c r="K2" s="8">
        <v>31</v>
      </c>
      <c r="L2" s="8">
        <v>31</v>
      </c>
      <c r="M2" s="8">
        <v>31</v>
      </c>
    </row>
    <row r="3" spans="1:121" x14ac:dyDescent="0.3">
      <c r="A3" s="1" t="s">
        <v>13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21" x14ac:dyDescent="0.3">
      <c r="A4" s="1">
        <v>1384</v>
      </c>
      <c r="B4" s="2">
        <v>2.7138239999999993</v>
      </c>
      <c r="C4" s="2">
        <v>6.3892799999999985</v>
      </c>
      <c r="D4" s="2">
        <v>10.285055999999999</v>
      </c>
      <c r="E4" s="2">
        <v>21.000384</v>
      </c>
      <c r="F4" s="2">
        <v>373.76121600000005</v>
      </c>
      <c r="G4" s="2">
        <v>320.92727040000005</v>
      </c>
      <c r="H4" s="2">
        <v>279.68388479999993</v>
      </c>
      <c r="I4" s="2">
        <v>230.13884160000001</v>
      </c>
      <c r="J4" s="2">
        <v>42.637449599999997</v>
      </c>
      <c r="K4" s="2">
        <v>11.1635712</v>
      </c>
      <c r="L4" s="2">
        <v>4.272047999999999</v>
      </c>
      <c r="M4" s="2">
        <v>1.5588287999999999</v>
      </c>
      <c r="N4" s="5">
        <f>SUM(B4:M4)</f>
        <v>1304.5316544</v>
      </c>
    </row>
    <row r="5" spans="1:121" x14ac:dyDescent="0.3">
      <c r="A5" s="1">
        <v>1385</v>
      </c>
      <c r="B5" s="2">
        <v>3.6676799999999989</v>
      </c>
      <c r="C5" s="2">
        <v>61.871039999999979</v>
      </c>
      <c r="D5" s="2">
        <v>30.668544000000001</v>
      </c>
      <c r="E5" s="2">
        <v>34.706880000000005</v>
      </c>
      <c r="F5" s="2">
        <v>74.341152000000008</v>
      </c>
      <c r="G5" s="2">
        <v>136.75815359999999</v>
      </c>
      <c r="H5" s="2">
        <v>427.90118399999983</v>
      </c>
      <c r="I5" s="2">
        <v>354.8237183999999</v>
      </c>
      <c r="J5" s="2">
        <v>63.644140799999988</v>
      </c>
      <c r="K5" s="2">
        <v>15.451689599999998</v>
      </c>
      <c r="L5" s="2">
        <v>3.7336895999999995</v>
      </c>
      <c r="M5" s="2">
        <v>3.0908735999999997</v>
      </c>
      <c r="N5" s="5">
        <f t="shared" ref="N5:N13" si="0">SUM(B5:M5)</f>
        <v>1210.6587455999995</v>
      </c>
    </row>
    <row r="6" spans="1:121" x14ac:dyDescent="0.3">
      <c r="A6" s="1">
        <v>1386</v>
      </c>
      <c r="B6" s="2">
        <v>3.9942719999999996</v>
      </c>
      <c r="C6" s="2">
        <v>4.9584959999999993</v>
      </c>
      <c r="D6" s="2">
        <v>24.875423999999999</v>
      </c>
      <c r="E6" s="2">
        <v>17.410464000000001</v>
      </c>
      <c r="F6" s="2">
        <v>23.364287999999995</v>
      </c>
      <c r="G6" s="2">
        <v>215.23855679999997</v>
      </c>
      <c r="H6" s="2">
        <v>221.73134399999992</v>
      </c>
      <c r="I6" s="2">
        <v>40.7947104</v>
      </c>
      <c r="J6" s="2">
        <v>7.1540063999999992</v>
      </c>
      <c r="K6" s="2">
        <v>1.4865120000000003</v>
      </c>
      <c r="L6" s="2">
        <v>0.85173120000000002</v>
      </c>
      <c r="M6" s="2">
        <v>2.5980479999999995</v>
      </c>
      <c r="N6" s="5">
        <f t="shared" si="0"/>
        <v>564.45785279999973</v>
      </c>
    </row>
    <row r="7" spans="1:121" x14ac:dyDescent="0.3">
      <c r="A7" s="1">
        <v>1387</v>
      </c>
      <c r="B7" s="2">
        <v>2.3639039999999998</v>
      </c>
      <c r="C7" s="2">
        <v>16.578431999999996</v>
      </c>
      <c r="D7" s="2">
        <v>15.207263999999999</v>
      </c>
      <c r="E7" s="2">
        <v>14.743296000000001</v>
      </c>
      <c r="F7" s="2">
        <v>36.757151999999998</v>
      </c>
      <c r="G7" s="2">
        <v>109.8279648</v>
      </c>
      <c r="H7" s="2">
        <v>224.92399680000003</v>
      </c>
      <c r="I7" s="2">
        <v>196.25440320000001</v>
      </c>
      <c r="J7" s="2">
        <v>28.961539199999997</v>
      </c>
      <c r="K7" s="2">
        <v>4.2372287999999996</v>
      </c>
      <c r="L7" s="2">
        <v>1.3311648</v>
      </c>
      <c r="M7" s="2">
        <v>0.42318720000000004</v>
      </c>
      <c r="N7" s="5">
        <f t="shared" si="0"/>
        <v>651.60953280000001</v>
      </c>
    </row>
    <row r="8" spans="1:121" x14ac:dyDescent="0.3">
      <c r="A8" s="1">
        <v>1388</v>
      </c>
      <c r="B8" s="2">
        <v>3.1518719999999996</v>
      </c>
      <c r="C8" s="2">
        <v>54.533088000000006</v>
      </c>
      <c r="D8" s="2">
        <v>61.303391999999974</v>
      </c>
      <c r="E8" s="2">
        <v>86.658336000000006</v>
      </c>
      <c r="F8" s="2">
        <v>105.90911999999999</v>
      </c>
      <c r="G8" s="2">
        <v>349.70158079999987</v>
      </c>
      <c r="H8" s="2">
        <v>586.8026208</v>
      </c>
      <c r="I8" s="2">
        <v>749.01991680000003</v>
      </c>
      <c r="J8" s="2">
        <v>394.68366719999995</v>
      </c>
      <c r="K8" s="2">
        <v>10.895731199999998</v>
      </c>
      <c r="L8" s="2">
        <v>0.50621759999999993</v>
      </c>
      <c r="M8" s="2">
        <v>0.62406719999999993</v>
      </c>
      <c r="N8" s="5">
        <f t="shared" si="0"/>
        <v>2403.7896095999995</v>
      </c>
    </row>
    <row r="9" spans="1:121" x14ac:dyDescent="0.3">
      <c r="A9" s="1">
        <v>1389</v>
      </c>
      <c r="B9" s="2">
        <v>0.87609599999999987</v>
      </c>
      <c r="C9" s="2">
        <v>2.7138239999999993</v>
      </c>
      <c r="D9" s="2">
        <v>15.018048</v>
      </c>
      <c r="E9" s="2">
        <v>29.686176</v>
      </c>
      <c r="F9" s="2">
        <v>63.986112000000006</v>
      </c>
      <c r="G9" s="2">
        <v>200.82133440000001</v>
      </c>
      <c r="H9" s="2">
        <v>235.16084159999997</v>
      </c>
      <c r="I9" s="2">
        <v>417.91610879999996</v>
      </c>
      <c r="J9" s="2">
        <v>42.913324799999991</v>
      </c>
      <c r="K9" s="2">
        <v>7.2986400000000016</v>
      </c>
      <c r="L9" s="2">
        <v>1.5802560000000001</v>
      </c>
      <c r="M9" s="2">
        <v>1.392768</v>
      </c>
      <c r="N9" s="5">
        <f t="shared" si="0"/>
        <v>1019.3635295999999</v>
      </c>
    </row>
    <row r="10" spans="1:121" x14ac:dyDescent="0.3">
      <c r="A10" s="1">
        <v>1390</v>
      </c>
      <c r="B10" s="2">
        <v>1.1249279999999999</v>
      </c>
      <c r="C10" s="2">
        <v>24.826176</v>
      </c>
      <c r="D10" s="2">
        <v>33.252768000000003</v>
      </c>
      <c r="E10" s="2">
        <v>44.445024000000011</v>
      </c>
      <c r="F10" s="2">
        <v>70.059167999999985</v>
      </c>
      <c r="G10" s="2">
        <v>143.90412479999998</v>
      </c>
      <c r="H10" s="2">
        <v>785.98451520000003</v>
      </c>
      <c r="I10" s="2">
        <v>487.9884095999999</v>
      </c>
      <c r="J10" s="2">
        <v>52.081488</v>
      </c>
      <c r="K10" s="2">
        <v>11.069827199999999</v>
      </c>
      <c r="L10" s="2">
        <v>3.8756447999999994</v>
      </c>
      <c r="M10" s="2">
        <v>0.39640319999999996</v>
      </c>
      <c r="N10" s="5">
        <f t="shared" si="0"/>
        <v>1659.0084767999997</v>
      </c>
    </row>
    <row r="11" spans="1:121" x14ac:dyDescent="0.3">
      <c r="A11" s="1">
        <v>1391</v>
      </c>
      <c r="B11" s="2">
        <v>2.0995199999999992</v>
      </c>
      <c r="C11" s="2">
        <v>30.435264</v>
      </c>
      <c r="D11" s="2">
        <v>54.240191999999993</v>
      </c>
      <c r="E11" s="2">
        <v>56.868479999999998</v>
      </c>
      <c r="F11" s="2">
        <v>212.81356799999992</v>
      </c>
      <c r="G11" s="2">
        <v>214.60463999999993</v>
      </c>
      <c r="H11" s="2">
        <v>247.48951680000002</v>
      </c>
      <c r="I11" s="2">
        <v>91.526284799999999</v>
      </c>
      <c r="J11" s="2">
        <v>20.312985600000001</v>
      </c>
      <c r="K11" s="2">
        <v>1.7356031999999999</v>
      </c>
      <c r="L11" s="2">
        <v>0.5972831999999999</v>
      </c>
      <c r="M11" s="2">
        <v>0.57585599999999992</v>
      </c>
      <c r="N11" s="5">
        <f t="shared" si="0"/>
        <v>933.29919359999997</v>
      </c>
    </row>
    <row r="12" spans="1:121" x14ac:dyDescent="0.3">
      <c r="A12" s="1">
        <v>1392</v>
      </c>
      <c r="B12" s="2">
        <v>0.90460799999999986</v>
      </c>
      <c r="C12" s="2">
        <v>10.378368</v>
      </c>
      <c r="D12" s="2">
        <v>56.969567999999995</v>
      </c>
      <c r="E12" s="2">
        <v>37.384415999999995</v>
      </c>
      <c r="F12" s="2">
        <v>84.506975999999995</v>
      </c>
      <c r="G12" s="2">
        <v>212.23935359999996</v>
      </c>
      <c r="H12" s="2">
        <v>293.00088959999999</v>
      </c>
      <c r="I12" s="2">
        <v>162.46638719999996</v>
      </c>
      <c r="J12" s="2">
        <v>13.327718399999998</v>
      </c>
      <c r="K12" s="2">
        <v>4.7273759999999987</v>
      </c>
      <c r="L12" s="2">
        <v>0.46068479999999995</v>
      </c>
      <c r="M12" s="2">
        <v>0.51693119999999992</v>
      </c>
      <c r="N12" s="5">
        <f t="shared" si="0"/>
        <v>876.88327679999998</v>
      </c>
    </row>
    <row r="13" spans="1:121" x14ac:dyDescent="0.3">
      <c r="A13" s="1">
        <v>1393</v>
      </c>
      <c r="B13" s="2">
        <v>3.3462719999999999</v>
      </c>
      <c r="C13" s="2">
        <v>25.922591999999998</v>
      </c>
      <c r="D13" s="2">
        <v>115.05888</v>
      </c>
      <c r="E13" s="2">
        <v>74.302272000000016</v>
      </c>
      <c r="F13" s="2">
        <v>154.37433599999997</v>
      </c>
      <c r="G13" s="2">
        <v>110.67485759999997</v>
      </c>
      <c r="H13" s="2">
        <v>299.84152319999998</v>
      </c>
      <c r="I13" s="2">
        <v>148.26283199999997</v>
      </c>
      <c r="J13" s="2">
        <v>17.690832</v>
      </c>
      <c r="K13" s="2">
        <v>1.5668639999999996</v>
      </c>
      <c r="L13" s="2">
        <v>2.2284288000000001</v>
      </c>
      <c r="M13" s="2">
        <v>3.2087231999999992</v>
      </c>
      <c r="N13" s="5">
        <f t="shared" si="0"/>
        <v>956.47841279999989</v>
      </c>
    </row>
    <row r="14" spans="1:121" x14ac:dyDescent="0.3">
      <c r="A14" s="1">
        <v>1394</v>
      </c>
      <c r="B14" s="2">
        <v>4.3668719999999999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6" spans="1:121" x14ac:dyDescent="0.3">
      <c r="B16" s="7">
        <v>1</v>
      </c>
      <c r="C16" s="7">
        <v>2</v>
      </c>
      <c r="D16" s="7">
        <v>3</v>
      </c>
      <c r="E16" s="7">
        <v>4</v>
      </c>
      <c r="F16" s="7">
        <v>5</v>
      </c>
      <c r="G16" s="7">
        <v>6</v>
      </c>
      <c r="H16" s="7">
        <v>7</v>
      </c>
      <c r="I16" s="7">
        <v>8</v>
      </c>
      <c r="J16" s="7">
        <v>9</v>
      </c>
      <c r="K16" s="7">
        <v>10</v>
      </c>
      <c r="L16" s="7">
        <v>11</v>
      </c>
      <c r="M16" s="7">
        <v>12</v>
      </c>
      <c r="N16" s="7">
        <v>13</v>
      </c>
      <c r="O16" s="7">
        <v>14</v>
      </c>
      <c r="P16" s="7">
        <v>15</v>
      </c>
      <c r="Q16" s="7">
        <v>16</v>
      </c>
      <c r="R16" s="7">
        <v>17</v>
      </c>
      <c r="S16" s="7">
        <v>18</v>
      </c>
      <c r="T16" s="7">
        <v>19</v>
      </c>
      <c r="U16" s="7">
        <v>20</v>
      </c>
      <c r="V16" s="7">
        <v>21</v>
      </c>
      <c r="W16" s="7">
        <v>22</v>
      </c>
      <c r="X16" s="7">
        <v>23</v>
      </c>
      <c r="Y16" s="7">
        <v>24</v>
      </c>
      <c r="Z16" s="7">
        <v>25</v>
      </c>
      <c r="AA16" s="7">
        <v>26</v>
      </c>
      <c r="AB16" s="7">
        <v>27</v>
      </c>
      <c r="AC16" s="7">
        <v>28</v>
      </c>
      <c r="AD16" s="7">
        <v>29</v>
      </c>
      <c r="AE16" s="7">
        <v>30</v>
      </c>
      <c r="AF16" s="7">
        <v>31</v>
      </c>
      <c r="AG16" s="7">
        <v>32</v>
      </c>
      <c r="AH16" s="7">
        <v>33</v>
      </c>
      <c r="AI16" s="7">
        <v>34</v>
      </c>
      <c r="AJ16" s="7">
        <v>35</v>
      </c>
      <c r="AK16" s="7">
        <v>36</v>
      </c>
      <c r="AL16" s="7">
        <v>37</v>
      </c>
      <c r="AM16" s="7">
        <v>38</v>
      </c>
      <c r="AN16" s="7">
        <v>39</v>
      </c>
      <c r="AO16" s="7">
        <v>40</v>
      </c>
      <c r="AP16" s="7">
        <v>41</v>
      </c>
      <c r="AQ16" s="7">
        <v>42</v>
      </c>
      <c r="AR16" s="7">
        <v>43</v>
      </c>
      <c r="AS16" s="7">
        <v>44</v>
      </c>
      <c r="AT16" s="7">
        <v>45</v>
      </c>
      <c r="AU16" s="7">
        <v>46</v>
      </c>
      <c r="AV16" s="7">
        <v>47</v>
      </c>
      <c r="AW16" s="7">
        <v>48</v>
      </c>
      <c r="AX16" s="7">
        <v>49</v>
      </c>
      <c r="AY16" s="7">
        <v>50</v>
      </c>
      <c r="AZ16" s="7">
        <v>51</v>
      </c>
      <c r="BA16" s="7">
        <v>52</v>
      </c>
      <c r="BB16" s="7">
        <v>53</v>
      </c>
      <c r="BC16" s="7">
        <v>54</v>
      </c>
      <c r="BD16" s="7">
        <v>55</v>
      </c>
      <c r="BE16" s="7">
        <v>56</v>
      </c>
      <c r="BF16" s="7">
        <v>57</v>
      </c>
      <c r="BG16" s="7">
        <v>58</v>
      </c>
      <c r="BH16" s="7">
        <v>59</v>
      </c>
      <c r="BI16" s="7">
        <v>60</v>
      </c>
      <c r="BJ16" s="7">
        <v>61</v>
      </c>
      <c r="BK16" s="7">
        <v>62</v>
      </c>
      <c r="BL16" s="7">
        <v>63</v>
      </c>
      <c r="BM16" s="7">
        <v>64</v>
      </c>
      <c r="BN16" s="7">
        <v>65</v>
      </c>
      <c r="BO16" s="7">
        <v>66</v>
      </c>
      <c r="BP16" s="7">
        <v>67</v>
      </c>
      <c r="BQ16" s="7">
        <v>68</v>
      </c>
      <c r="BR16" s="7">
        <v>69</v>
      </c>
      <c r="BS16" s="7">
        <v>70</v>
      </c>
      <c r="BT16" s="7">
        <v>71</v>
      </c>
      <c r="BU16" s="7">
        <v>72</v>
      </c>
      <c r="BV16" s="7">
        <v>73</v>
      </c>
      <c r="BW16" s="7">
        <v>74</v>
      </c>
      <c r="BX16" s="7">
        <v>75</v>
      </c>
      <c r="BY16" s="7">
        <v>76</v>
      </c>
      <c r="BZ16" s="7">
        <v>77</v>
      </c>
      <c r="CA16" s="7">
        <v>78</v>
      </c>
      <c r="CB16" s="7">
        <v>79</v>
      </c>
      <c r="CC16" s="7">
        <v>80</v>
      </c>
      <c r="CD16" s="7">
        <v>81</v>
      </c>
      <c r="CE16" s="7">
        <v>82</v>
      </c>
      <c r="CF16" s="7">
        <v>83</v>
      </c>
      <c r="CG16" s="7">
        <v>84</v>
      </c>
      <c r="CH16" s="7">
        <v>85</v>
      </c>
      <c r="CI16" s="7">
        <v>86</v>
      </c>
      <c r="CJ16" s="7">
        <v>87</v>
      </c>
      <c r="CK16" s="7">
        <v>88</v>
      </c>
      <c r="CL16" s="7">
        <v>89</v>
      </c>
      <c r="CM16" s="7">
        <v>90</v>
      </c>
      <c r="CN16" s="7">
        <v>91</v>
      </c>
      <c r="CO16" s="7">
        <v>92</v>
      </c>
      <c r="CP16" s="7">
        <v>93</v>
      </c>
      <c r="CQ16" s="7">
        <v>94</v>
      </c>
      <c r="CR16" s="7">
        <v>95</v>
      </c>
      <c r="CS16" s="7">
        <v>96</v>
      </c>
      <c r="CT16" s="7">
        <v>97</v>
      </c>
      <c r="CU16" s="7">
        <v>98</v>
      </c>
      <c r="CV16" s="7">
        <v>99</v>
      </c>
      <c r="CW16" s="7">
        <v>100</v>
      </c>
      <c r="CX16" s="7">
        <v>101</v>
      </c>
      <c r="CY16" s="7">
        <v>102</v>
      </c>
      <c r="CZ16" s="7">
        <v>103</v>
      </c>
      <c r="DA16" s="7">
        <v>104</v>
      </c>
      <c r="DB16" s="7">
        <v>105</v>
      </c>
      <c r="DC16" s="7">
        <v>106</v>
      </c>
      <c r="DD16" s="7">
        <v>107</v>
      </c>
      <c r="DE16" s="7">
        <v>108</v>
      </c>
      <c r="DF16" s="7">
        <v>109</v>
      </c>
      <c r="DG16" s="7">
        <v>110</v>
      </c>
      <c r="DH16" s="7">
        <v>111</v>
      </c>
      <c r="DI16" s="7">
        <v>112</v>
      </c>
      <c r="DJ16" s="7">
        <v>113</v>
      </c>
      <c r="DK16" s="7">
        <v>114</v>
      </c>
      <c r="DL16" s="7">
        <v>115</v>
      </c>
      <c r="DM16" s="7">
        <v>116</v>
      </c>
      <c r="DN16" s="7">
        <v>117</v>
      </c>
      <c r="DO16" s="7">
        <v>118</v>
      </c>
      <c r="DP16" s="7">
        <v>119</v>
      </c>
      <c r="DQ16" s="7">
        <v>120</v>
      </c>
    </row>
    <row r="17" spans="2:121" x14ac:dyDescent="0.3">
      <c r="B17" s="2">
        <v>2.7138239999999993</v>
      </c>
      <c r="C17" s="2">
        <v>6.3892799999999985</v>
      </c>
      <c r="D17" s="2">
        <v>10.285055999999999</v>
      </c>
      <c r="E17" s="2">
        <v>21.000384</v>
      </c>
      <c r="F17" s="2">
        <v>373.76121600000005</v>
      </c>
      <c r="G17" s="2">
        <v>320.92727040000005</v>
      </c>
      <c r="H17" s="2">
        <v>279.68388479999993</v>
      </c>
      <c r="I17" s="2">
        <v>230.13884160000001</v>
      </c>
      <c r="J17" s="2">
        <v>42.637449599999997</v>
      </c>
      <c r="K17" s="2">
        <v>11.1635712</v>
      </c>
      <c r="L17" s="2">
        <v>4.272047999999999</v>
      </c>
      <c r="M17" s="2">
        <v>1.5588287999999999</v>
      </c>
      <c r="N17" s="2">
        <v>3.6676799999999989</v>
      </c>
      <c r="O17" s="2">
        <v>61.871039999999979</v>
      </c>
      <c r="P17" s="2">
        <v>30.668544000000001</v>
      </c>
      <c r="Q17" s="2">
        <v>34.706880000000005</v>
      </c>
      <c r="R17" s="2">
        <v>74.341152000000008</v>
      </c>
      <c r="S17" s="2">
        <v>136.75815359999999</v>
      </c>
      <c r="T17" s="2">
        <v>427.90118399999983</v>
      </c>
      <c r="U17" s="2">
        <v>354.8237183999999</v>
      </c>
      <c r="V17" s="2">
        <v>63.644140799999988</v>
      </c>
      <c r="W17" s="2">
        <v>15.451689599999998</v>
      </c>
      <c r="X17" s="2">
        <v>3.7336895999999995</v>
      </c>
      <c r="Y17" s="2">
        <v>3.0908735999999997</v>
      </c>
      <c r="Z17" s="2">
        <v>3.9942719999999996</v>
      </c>
      <c r="AA17" s="2">
        <v>4.9584959999999993</v>
      </c>
      <c r="AB17" s="2">
        <v>24.875423999999999</v>
      </c>
      <c r="AC17" s="2">
        <v>17.410464000000001</v>
      </c>
      <c r="AD17" s="2">
        <v>23.364287999999995</v>
      </c>
      <c r="AE17" s="2">
        <v>215.23855679999997</v>
      </c>
      <c r="AF17" s="2">
        <v>221.73134399999992</v>
      </c>
      <c r="AG17" s="2">
        <v>40.7947104</v>
      </c>
      <c r="AH17" s="2">
        <v>7.1540063999999992</v>
      </c>
      <c r="AI17" s="2">
        <v>1.4865120000000003</v>
      </c>
      <c r="AJ17" s="2">
        <v>0.85173120000000002</v>
      </c>
      <c r="AK17" s="2">
        <v>2.5980479999999995</v>
      </c>
      <c r="AL17" s="2">
        <v>2.3639039999999998</v>
      </c>
      <c r="AM17" s="2">
        <v>16.578431999999996</v>
      </c>
      <c r="AN17" s="2">
        <v>15.207263999999999</v>
      </c>
      <c r="AO17" s="2">
        <v>14.743296000000001</v>
      </c>
      <c r="AP17" s="2">
        <v>36.757151999999998</v>
      </c>
      <c r="AQ17" s="2">
        <v>109.8279648</v>
      </c>
      <c r="AR17" s="2">
        <v>224.92399680000003</v>
      </c>
      <c r="AS17" s="2">
        <v>196.25440320000001</v>
      </c>
      <c r="AT17" s="2">
        <v>28.961539199999997</v>
      </c>
      <c r="AU17" s="2">
        <v>4.2372287999999996</v>
      </c>
      <c r="AV17" s="2">
        <v>1.3311648</v>
      </c>
      <c r="AW17" s="2">
        <v>0.42318720000000004</v>
      </c>
      <c r="AX17" s="2">
        <v>3.1518719999999996</v>
      </c>
      <c r="AY17" s="2">
        <v>54.533088000000006</v>
      </c>
      <c r="AZ17" s="2">
        <v>61.303391999999974</v>
      </c>
      <c r="BA17" s="2">
        <v>86.658336000000006</v>
      </c>
      <c r="BB17" s="2">
        <v>105.90911999999999</v>
      </c>
      <c r="BC17" s="2">
        <v>349.70158079999987</v>
      </c>
      <c r="BD17" s="2">
        <v>586.8026208</v>
      </c>
      <c r="BE17" s="2">
        <v>749.01991680000003</v>
      </c>
      <c r="BF17" s="2">
        <v>394.68366719999995</v>
      </c>
      <c r="BG17" s="2">
        <v>10.895731199999998</v>
      </c>
      <c r="BH17" s="2">
        <v>0.50621759999999993</v>
      </c>
      <c r="BI17" s="2">
        <v>0.62406719999999993</v>
      </c>
      <c r="BJ17" s="2">
        <v>0.87609599999999987</v>
      </c>
      <c r="BK17" s="2">
        <v>2.7138239999999993</v>
      </c>
      <c r="BL17" s="2">
        <v>15.018048</v>
      </c>
      <c r="BM17" s="2">
        <v>29.686176</v>
      </c>
      <c r="BN17" s="2">
        <v>63.986112000000006</v>
      </c>
      <c r="BO17" s="2">
        <v>200.82133440000001</v>
      </c>
      <c r="BP17" s="2">
        <v>235.16084159999997</v>
      </c>
      <c r="BQ17" s="2">
        <v>417.91610879999996</v>
      </c>
      <c r="BR17" s="2">
        <v>42.913324799999991</v>
      </c>
      <c r="BS17" s="2">
        <v>7.2986400000000016</v>
      </c>
      <c r="BT17" s="2">
        <v>1.5802560000000001</v>
      </c>
      <c r="BU17" s="2">
        <v>1.392768</v>
      </c>
      <c r="BV17" s="2">
        <v>1.1249279999999999</v>
      </c>
      <c r="BW17" s="2">
        <v>24.826176</v>
      </c>
      <c r="BX17" s="2">
        <v>33.252768000000003</v>
      </c>
      <c r="BY17" s="2">
        <v>44.445024000000011</v>
      </c>
      <c r="BZ17" s="2">
        <v>70.059167999999985</v>
      </c>
      <c r="CA17" s="2">
        <v>143.90412479999998</v>
      </c>
      <c r="CB17" s="2">
        <v>785.98451520000003</v>
      </c>
      <c r="CC17" s="2">
        <v>487.9884095999999</v>
      </c>
      <c r="CD17" s="2">
        <v>52.081488</v>
      </c>
      <c r="CE17" s="2">
        <v>11.069827199999999</v>
      </c>
      <c r="CF17" s="2">
        <v>3.8756447999999994</v>
      </c>
      <c r="CG17" s="2">
        <v>0.39640319999999996</v>
      </c>
      <c r="CH17" s="2">
        <v>2.0995199999999992</v>
      </c>
      <c r="CI17" s="2">
        <v>30.435264</v>
      </c>
      <c r="CJ17" s="2">
        <v>54.240191999999993</v>
      </c>
      <c r="CK17" s="2">
        <v>56.868479999999998</v>
      </c>
      <c r="CL17" s="2">
        <v>212.81356799999992</v>
      </c>
      <c r="CM17" s="2">
        <v>214.60463999999993</v>
      </c>
      <c r="CN17" s="2">
        <v>247.48951680000002</v>
      </c>
      <c r="CO17" s="2">
        <v>91.526284799999999</v>
      </c>
      <c r="CP17" s="2">
        <v>20.312985600000001</v>
      </c>
      <c r="CQ17" s="2">
        <v>1.7356031999999999</v>
      </c>
      <c r="CR17" s="2">
        <v>0.5972831999999999</v>
      </c>
      <c r="CS17" s="2">
        <v>0.57585599999999992</v>
      </c>
      <c r="CT17" s="2">
        <v>0.90460799999999986</v>
      </c>
      <c r="CU17" s="2">
        <v>10.378368</v>
      </c>
      <c r="CV17" s="2">
        <v>56.969567999999995</v>
      </c>
      <c r="CW17" s="2">
        <v>37.384415999999995</v>
      </c>
      <c r="CX17" s="2">
        <v>84.506975999999995</v>
      </c>
      <c r="CY17" s="2">
        <v>212.23935359999996</v>
      </c>
      <c r="CZ17" s="2">
        <v>293.00088959999999</v>
      </c>
      <c r="DA17" s="2">
        <v>162.46638719999996</v>
      </c>
      <c r="DB17" s="2">
        <v>13.327718399999998</v>
      </c>
      <c r="DC17" s="2">
        <v>4.7273759999999987</v>
      </c>
      <c r="DD17" s="2">
        <v>0.46068479999999995</v>
      </c>
      <c r="DE17" s="2">
        <v>0.51693119999999992</v>
      </c>
      <c r="DF17" s="2">
        <v>3.3462719999999999</v>
      </c>
      <c r="DG17" s="2">
        <v>25.922591999999998</v>
      </c>
      <c r="DH17" s="2">
        <v>115.05888</v>
      </c>
      <c r="DI17" s="2">
        <v>74.302272000000016</v>
      </c>
      <c r="DJ17" s="2">
        <v>154.37433599999997</v>
      </c>
      <c r="DK17" s="2">
        <v>110.67485759999997</v>
      </c>
      <c r="DL17" s="2">
        <v>299.84152319999998</v>
      </c>
      <c r="DM17" s="2">
        <v>148.26283199999997</v>
      </c>
      <c r="DN17" s="2">
        <v>17.690832</v>
      </c>
      <c r="DO17" s="2">
        <v>1.5668639999999996</v>
      </c>
      <c r="DP17" s="2">
        <v>2.2284288000000001</v>
      </c>
      <c r="DQ17" s="2">
        <v>3.2087231999999992</v>
      </c>
    </row>
    <row r="18" spans="2:121" x14ac:dyDescent="0.3">
      <c r="B18" s="2">
        <v>96.501000000000005</v>
      </c>
      <c r="C18" s="2">
        <v>96.501000000000005</v>
      </c>
      <c r="D18" s="2">
        <v>96.501000000000005</v>
      </c>
      <c r="E18" s="2">
        <v>96.501000000000005</v>
      </c>
      <c r="F18" s="2">
        <v>96.501000000000005</v>
      </c>
      <c r="G18" s="2">
        <v>96.501000000000005</v>
      </c>
      <c r="H18" s="2">
        <v>96.501000000000005</v>
      </c>
      <c r="I18" s="2">
        <v>96.501000000000005</v>
      </c>
      <c r="J18" s="2">
        <v>96.501000000000005</v>
      </c>
      <c r="K18" s="2">
        <v>96.501000000000005</v>
      </c>
      <c r="L18" s="2">
        <v>96.501000000000005</v>
      </c>
      <c r="M18" s="2">
        <v>96.501000000000005</v>
      </c>
      <c r="N18" s="2">
        <v>96.501000000000005</v>
      </c>
      <c r="O18" s="2">
        <v>96.501000000000005</v>
      </c>
      <c r="P18" s="2">
        <v>96.501000000000005</v>
      </c>
      <c r="Q18" s="2">
        <v>96.501000000000005</v>
      </c>
      <c r="R18" s="2">
        <v>96.501000000000005</v>
      </c>
      <c r="S18" s="2">
        <v>96.501000000000005</v>
      </c>
      <c r="T18" s="2">
        <v>96.501000000000005</v>
      </c>
      <c r="U18" s="2">
        <v>96.501000000000005</v>
      </c>
      <c r="V18" s="2">
        <v>96.501000000000005</v>
      </c>
      <c r="W18" s="2">
        <v>96.501000000000005</v>
      </c>
      <c r="X18" s="2">
        <v>96.501000000000005</v>
      </c>
      <c r="Y18" s="2">
        <v>96.501000000000005</v>
      </c>
      <c r="Z18" s="2">
        <v>96.501000000000005</v>
      </c>
      <c r="AA18" s="2">
        <v>96.501000000000005</v>
      </c>
      <c r="AB18" s="2">
        <v>96.501000000000005</v>
      </c>
      <c r="AC18" s="2">
        <v>96.501000000000005</v>
      </c>
      <c r="AD18" s="2">
        <v>96.501000000000005</v>
      </c>
      <c r="AE18" s="2">
        <v>96.501000000000005</v>
      </c>
      <c r="AF18" s="2">
        <v>96.501000000000005</v>
      </c>
      <c r="AG18" s="2">
        <v>96.501000000000005</v>
      </c>
      <c r="AH18" s="2">
        <v>96.501000000000005</v>
      </c>
      <c r="AI18" s="2">
        <v>96.501000000000005</v>
      </c>
      <c r="AJ18" s="2">
        <v>96.501000000000005</v>
      </c>
      <c r="AK18" s="2">
        <v>96.501000000000005</v>
      </c>
      <c r="AL18" s="2">
        <v>96.501000000000005</v>
      </c>
      <c r="AM18" s="2">
        <v>96.501000000000005</v>
      </c>
      <c r="AN18" s="2">
        <v>96.501000000000005</v>
      </c>
      <c r="AO18" s="2">
        <v>96.501000000000005</v>
      </c>
      <c r="AP18" s="2">
        <v>96.501000000000005</v>
      </c>
      <c r="AQ18" s="2">
        <v>96.501000000000005</v>
      </c>
      <c r="AR18" s="2">
        <v>96.501000000000005</v>
      </c>
      <c r="AS18" s="2">
        <v>96.501000000000005</v>
      </c>
      <c r="AT18" s="2">
        <v>96.501000000000005</v>
      </c>
      <c r="AU18" s="2">
        <v>96.501000000000005</v>
      </c>
      <c r="AV18" s="2">
        <v>96.501000000000005</v>
      </c>
      <c r="AW18" s="2">
        <v>96.501000000000005</v>
      </c>
      <c r="AX18" s="2">
        <v>96.501000000000005</v>
      </c>
      <c r="AY18" s="2">
        <v>96.501000000000005</v>
      </c>
      <c r="AZ18" s="2">
        <v>96.501000000000005</v>
      </c>
      <c r="BA18" s="2">
        <v>96.501000000000005</v>
      </c>
      <c r="BB18" s="2">
        <v>96.501000000000005</v>
      </c>
      <c r="BC18" s="2">
        <v>96.501000000000005</v>
      </c>
      <c r="BD18" s="2">
        <v>96.501000000000005</v>
      </c>
      <c r="BE18" s="2">
        <v>96.501000000000005</v>
      </c>
      <c r="BF18" s="2">
        <v>96.501000000000005</v>
      </c>
      <c r="BG18" s="2">
        <v>96.501000000000005</v>
      </c>
      <c r="BH18" s="2">
        <v>96.501000000000005</v>
      </c>
      <c r="BI18" s="2">
        <v>96.501000000000005</v>
      </c>
      <c r="BJ18" s="2">
        <v>96.501000000000005</v>
      </c>
      <c r="BK18" s="2">
        <v>96.501000000000005</v>
      </c>
      <c r="BL18" s="2">
        <v>96.501000000000005</v>
      </c>
      <c r="BM18" s="2">
        <v>96.501000000000005</v>
      </c>
      <c r="BN18" s="2">
        <v>96.501000000000005</v>
      </c>
      <c r="BO18" s="2">
        <v>96.501000000000005</v>
      </c>
      <c r="BP18" s="2">
        <v>96.501000000000005</v>
      </c>
      <c r="BQ18" s="2">
        <v>96.501000000000005</v>
      </c>
      <c r="BR18" s="2">
        <v>96.501000000000005</v>
      </c>
      <c r="BS18" s="2">
        <v>96.501000000000005</v>
      </c>
      <c r="BT18" s="2">
        <v>96.501000000000005</v>
      </c>
      <c r="BU18" s="2">
        <v>96.501000000000005</v>
      </c>
      <c r="BV18" s="2">
        <v>96.501000000000005</v>
      </c>
      <c r="BW18" s="2">
        <v>96.501000000000005</v>
      </c>
      <c r="BX18" s="2">
        <v>96.501000000000005</v>
      </c>
      <c r="BY18" s="2">
        <v>96.501000000000005</v>
      </c>
      <c r="BZ18" s="2">
        <v>96.501000000000005</v>
      </c>
      <c r="CA18" s="2">
        <v>96.501000000000005</v>
      </c>
      <c r="CB18" s="2">
        <v>96.501000000000005</v>
      </c>
      <c r="CC18" s="2">
        <v>96.501000000000005</v>
      </c>
      <c r="CD18" s="2">
        <v>96.501000000000005</v>
      </c>
      <c r="CE18" s="2">
        <v>96.501000000000005</v>
      </c>
      <c r="CF18" s="2">
        <v>96.501000000000005</v>
      </c>
      <c r="CG18" s="2">
        <v>96.501000000000005</v>
      </c>
      <c r="CH18" s="2">
        <v>96.501000000000005</v>
      </c>
      <c r="CI18" s="2">
        <v>96.501000000000005</v>
      </c>
      <c r="CJ18" s="2">
        <v>96.501000000000005</v>
      </c>
      <c r="CK18" s="2">
        <v>96.501000000000005</v>
      </c>
      <c r="CL18" s="2">
        <v>96.501000000000005</v>
      </c>
      <c r="CM18" s="2">
        <v>96.501000000000005</v>
      </c>
      <c r="CN18" s="2">
        <v>96.501000000000005</v>
      </c>
      <c r="CO18" s="2">
        <v>96.501000000000005</v>
      </c>
      <c r="CP18" s="2">
        <v>96.501000000000005</v>
      </c>
      <c r="CQ18" s="2">
        <v>96.501000000000005</v>
      </c>
      <c r="CR18" s="2">
        <v>96.501000000000005</v>
      </c>
      <c r="CS18" s="2">
        <v>96.501000000000005</v>
      </c>
      <c r="CT18" s="2">
        <v>96.501000000000005</v>
      </c>
      <c r="CU18" s="2">
        <v>96.501000000000005</v>
      </c>
      <c r="CV18" s="2">
        <v>96.501000000000005</v>
      </c>
      <c r="CW18" s="2">
        <v>96.501000000000005</v>
      </c>
      <c r="CX18" s="2">
        <v>96.501000000000005</v>
      </c>
      <c r="CY18" s="2">
        <v>96.501000000000005</v>
      </c>
      <c r="CZ18" s="2">
        <v>96.501000000000005</v>
      </c>
      <c r="DA18" s="2">
        <v>96.501000000000005</v>
      </c>
      <c r="DB18" s="2">
        <v>96.501000000000005</v>
      </c>
      <c r="DC18" s="2">
        <v>96.501000000000005</v>
      </c>
      <c r="DD18" s="2">
        <v>96.501000000000005</v>
      </c>
      <c r="DE18" s="2">
        <v>96.501000000000005</v>
      </c>
      <c r="DF18" s="2">
        <v>96.501000000000005</v>
      </c>
      <c r="DG18" s="2">
        <v>96.501000000000005</v>
      </c>
      <c r="DH18" s="2">
        <v>96.501000000000005</v>
      </c>
      <c r="DI18" s="2">
        <v>96.501000000000005</v>
      </c>
      <c r="DJ18" s="2">
        <v>96.501000000000005</v>
      </c>
      <c r="DK18" s="2">
        <v>96.501000000000005</v>
      </c>
      <c r="DL18" s="2">
        <v>96.501000000000005</v>
      </c>
      <c r="DM18" s="2">
        <v>96.501000000000005</v>
      </c>
      <c r="DN18" s="2">
        <v>96.501000000000005</v>
      </c>
      <c r="DO18" s="2">
        <v>96.501000000000005</v>
      </c>
      <c r="DP18" s="2">
        <v>96.501000000000005</v>
      </c>
      <c r="DQ18" s="2">
        <v>96.501000000000005</v>
      </c>
    </row>
  </sheetData>
  <mergeCells count="12"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0806-4483-4D41-A8C1-BD5B414A3558}">
  <dimension ref="A1:DQ16"/>
  <sheetViews>
    <sheetView workbookViewId="0">
      <selection activeCell="M26" sqref="M26"/>
    </sheetView>
  </sheetViews>
  <sheetFormatPr defaultRowHeight="14.4" x14ac:dyDescent="0.3"/>
  <sheetData>
    <row r="1" spans="1:12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21" x14ac:dyDescent="0.3">
      <c r="A2" s="1">
        <v>1384</v>
      </c>
      <c r="B2" s="1">
        <v>4</v>
      </c>
      <c r="C2" s="1">
        <v>19</v>
      </c>
      <c r="D2" s="1">
        <v>13.5</v>
      </c>
      <c r="E2" s="1">
        <v>37</v>
      </c>
      <c r="F2" s="1">
        <v>76</v>
      </c>
      <c r="G2" s="1">
        <v>23</v>
      </c>
      <c r="H2" s="1">
        <v>57.5</v>
      </c>
      <c r="I2" s="1">
        <v>70.5</v>
      </c>
      <c r="J2" s="1">
        <v>0</v>
      </c>
      <c r="K2" s="1">
        <v>0</v>
      </c>
      <c r="L2" s="1">
        <v>0</v>
      </c>
      <c r="M2" s="1">
        <v>0</v>
      </c>
      <c r="N2">
        <f>SUM(B2:M2)</f>
        <v>300.5</v>
      </c>
    </row>
    <row r="3" spans="1:121" x14ac:dyDescent="0.3">
      <c r="A3" s="1">
        <v>1385</v>
      </c>
      <c r="B3" s="1">
        <v>23.5</v>
      </c>
      <c r="C3" s="1">
        <v>135</v>
      </c>
      <c r="D3" s="1">
        <v>2</v>
      </c>
      <c r="E3" s="1">
        <v>14</v>
      </c>
      <c r="F3" s="1">
        <v>40</v>
      </c>
      <c r="G3" s="1">
        <v>34.5</v>
      </c>
      <c r="H3" s="1">
        <v>76</v>
      </c>
      <c r="I3" s="1">
        <v>22</v>
      </c>
      <c r="J3" s="1">
        <v>6</v>
      </c>
      <c r="K3" s="1">
        <v>0</v>
      </c>
      <c r="L3" s="1">
        <v>1.5</v>
      </c>
      <c r="M3" s="1">
        <v>2</v>
      </c>
      <c r="N3">
        <f t="shared" ref="N3:N11" si="0">SUM(B3:M3)</f>
        <v>356.5</v>
      </c>
    </row>
    <row r="4" spans="1:121" x14ac:dyDescent="0.3">
      <c r="A4" s="1">
        <v>1386</v>
      </c>
      <c r="B4" s="1">
        <v>3</v>
      </c>
      <c r="C4" s="1">
        <v>0</v>
      </c>
      <c r="D4" s="1">
        <v>14.5</v>
      </c>
      <c r="E4" s="1">
        <v>0</v>
      </c>
      <c r="F4" s="1">
        <v>45</v>
      </c>
      <c r="G4" s="1">
        <v>35</v>
      </c>
      <c r="H4" s="1">
        <v>2.5</v>
      </c>
      <c r="I4" s="1">
        <v>12</v>
      </c>
      <c r="J4" s="1">
        <v>2</v>
      </c>
      <c r="K4" s="1">
        <v>3</v>
      </c>
      <c r="L4" s="1">
        <v>0</v>
      </c>
      <c r="M4" s="1">
        <v>17.5</v>
      </c>
      <c r="N4">
        <f t="shared" si="0"/>
        <v>134.5</v>
      </c>
    </row>
    <row r="5" spans="1:121" x14ac:dyDescent="0.3">
      <c r="A5" s="1">
        <v>1387</v>
      </c>
      <c r="B5" s="1">
        <v>16</v>
      </c>
      <c r="C5" s="1">
        <v>97</v>
      </c>
      <c r="D5" s="1">
        <v>1</v>
      </c>
      <c r="E5" s="1">
        <v>1</v>
      </c>
      <c r="F5" s="1">
        <v>23.5</v>
      </c>
      <c r="G5" s="1">
        <v>9</v>
      </c>
      <c r="H5" s="1">
        <v>17</v>
      </c>
      <c r="I5" s="1">
        <v>28</v>
      </c>
      <c r="J5" s="1">
        <v>2.5</v>
      </c>
      <c r="K5" s="1">
        <v>0</v>
      </c>
      <c r="L5" s="1">
        <v>0</v>
      </c>
      <c r="M5" s="1">
        <v>3</v>
      </c>
      <c r="N5">
        <f t="shared" si="0"/>
        <v>198</v>
      </c>
    </row>
    <row r="6" spans="1:121" x14ac:dyDescent="0.3">
      <c r="A6" s="1">
        <v>1388</v>
      </c>
      <c r="B6" s="1">
        <v>17.5</v>
      </c>
      <c r="C6" s="1">
        <v>73</v>
      </c>
      <c r="D6" s="1">
        <v>18.5</v>
      </c>
      <c r="E6" s="1">
        <v>21</v>
      </c>
      <c r="F6" s="1">
        <v>62.5</v>
      </c>
      <c r="G6" s="1">
        <v>33.5</v>
      </c>
      <c r="H6" s="1">
        <v>47.5</v>
      </c>
      <c r="I6" s="1">
        <v>67</v>
      </c>
      <c r="J6" s="1">
        <v>0</v>
      </c>
      <c r="K6" s="1">
        <v>0</v>
      </c>
      <c r="L6" s="1">
        <v>0</v>
      </c>
      <c r="M6" s="1">
        <v>0</v>
      </c>
      <c r="N6">
        <f t="shared" si="0"/>
        <v>340.5</v>
      </c>
    </row>
    <row r="7" spans="1:121" x14ac:dyDescent="0.3">
      <c r="A7" s="1">
        <v>1389</v>
      </c>
      <c r="B7" s="1">
        <v>0</v>
      </c>
      <c r="C7" s="1">
        <v>3</v>
      </c>
      <c r="D7" s="1">
        <v>2</v>
      </c>
      <c r="E7" s="1">
        <v>50</v>
      </c>
      <c r="F7" s="1">
        <v>6.5</v>
      </c>
      <c r="G7" s="1">
        <v>63</v>
      </c>
      <c r="H7" s="1">
        <v>38.5</v>
      </c>
      <c r="I7" s="1">
        <v>109</v>
      </c>
      <c r="J7" s="1">
        <v>2</v>
      </c>
      <c r="K7" s="1">
        <v>0</v>
      </c>
      <c r="L7" s="1">
        <v>0.5</v>
      </c>
      <c r="M7" s="1">
        <v>1.5</v>
      </c>
      <c r="N7">
        <f t="shared" si="0"/>
        <v>276</v>
      </c>
    </row>
    <row r="8" spans="1:121" x14ac:dyDescent="0.3">
      <c r="A8" s="1">
        <v>1390</v>
      </c>
      <c r="B8" s="1">
        <v>6.5</v>
      </c>
      <c r="C8" s="1">
        <v>35.5</v>
      </c>
      <c r="D8" s="1">
        <v>1.5</v>
      </c>
      <c r="E8" s="1">
        <v>13</v>
      </c>
      <c r="F8" s="1">
        <v>2.5</v>
      </c>
      <c r="G8" s="1">
        <v>33.5</v>
      </c>
      <c r="H8" s="1">
        <v>37</v>
      </c>
      <c r="I8" s="1">
        <v>45.5</v>
      </c>
      <c r="J8" s="1">
        <v>6</v>
      </c>
      <c r="K8" s="1">
        <v>3</v>
      </c>
      <c r="L8" s="1">
        <v>0</v>
      </c>
      <c r="M8" s="1">
        <v>4.5</v>
      </c>
      <c r="N8">
        <f t="shared" si="0"/>
        <v>188.5</v>
      </c>
    </row>
    <row r="9" spans="1:121" x14ac:dyDescent="0.3">
      <c r="A9" s="1">
        <v>1391</v>
      </c>
      <c r="B9" s="1">
        <v>5</v>
      </c>
      <c r="C9" s="1">
        <v>89</v>
      </c>
      <c r="D9" s="1">
        <v>45.5</v>
      </c>
      <c r="E9" s="1">
        <v>23.5</v>
      </c>
      <c r="F9" s="1">
        <v>22.5</v>
      </c>
      <c r="G9" s="1">
        <v>31.5</v>
      </c>
      <c r="H9" s="1">
        <v>15.5</v>
      </c>
      <c r="I9" s="1">
        <v>13</v>
      </c>
      <c r="J9" s="1">
        <v>2</v>
      </c>
      <c r="K9" s="1">
        <v>0</v>
      </c>
      <c r="L9" s="1">
        <v>0</v>
      </c>
      <c r="M9" s="1">
        <v>8</v>
      </c>
      <c r="N9">
        <f t="shared" si="0"/>
        <v>255.5</v>
      </c>
    </row>
    <row r="10" spans="1:121" x14ac:dyDescent="0.3">
      <c r="A10" s="1">
        <v>1392</v>
      </c>
      <c r="B10" s="1">
        <v>2</v>
      </c>
      <c r="C10" s="1">
        <v>45.5</v>
      </c>
      <c r="D10" s="1">
        <v>44</v>
      </c>
      <c r="E10" s="1">
        <v>3.5</v>
      </c>
      <c r="F10" s="1">
        <v>37.5</v>
      </c>
      <c r="G10" s="1">
        <v>58</v>
      </c>
      <c r="H10" s="1">
        <v>17.5</v>
      </c>
      <c r="I10" s="1">
        <v>19.5</v>
      </c>
      <c r="J10" s="1">
        <v>2</v>
      </c>
      <c r="K10" s="1">
        <v>4</v>
      </c>
      <c r="L10" s="1">
        <v>1.5</v>
      </c>
      <c r="M10" s="1">
        <v>0</v>
      </c>
      <c r="N10">
        <f t="shared" si="0"/>
        <v>235</v>
      </c>
    </row>
    <row r="11" spans="1:121" x14ac:dyDescent="0.3">
      <c r="A11" s="1">
        <v>1393</v>
      </c>
      <c r="B11" s="1">
        <v>83.5</v>
      </c>
      <c r="C11" s="1">
        <v>41</v>
      </c>
      <c r="D11" s="1">
        <v>56</v>
      </c>
      <c r="E11" s="1">
        <v>2.5</v>
      </c>
      <c r="F11" s="1">
        <v>29.5</v>
      </c>
      <c r="G11" s="1">
        <v>14</v>
      </c>
      <c r="H11" s="1">
        <v>30</v>
      </c>
      <c r="I11" s="1">
        <v>26</v>
      </c>
      <c r="J11" s="1">
        <v>0</v>
      </c>
      <c r="K11" s="1">
        <v>0</v>
      </c>
      <c r="L11" s="1">
        <v>0</v>
      </c>
      <c r="M11" s="1">
        <v>0</v>
      </c>
      <c r="N11">
        <f t="shared" si="0"/>
        <v>282.5</v>
      </c>
    </row>
    <row r="12" spans="1:121" x14ac:dyDescent="0.3">
      <c r="A12" s="1">
        <v>1394</v>
      </c>
      <c r="B12" s="1">
        <v>12.474999999999998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5" spans="1:121" x14ac:dyDescent="0.3">
      <c r="B15" s="4">
        <v>1</v>
      </c>
      <c r="C15">
        <v>2</v>
      </c>
      <c r="D15">
        <v>3</v>
      </c>
      <c r="E15" s="4">
        <v>4</v>
      </c>
      <c r="F15">
        <v>5</v>
      </c>
      <c r="G15">
        <v>6</v>
      </c>
      <c r="H15" s="4">
        <v>7</v>
      </c>
      <c r="I15">
        <v>8</v>
      </c>
      <c r="J15">
        <v>9</v>
      </c>
      <c r="K15" s="4">
        <v>10</v>
      </c>
      <c r="L15">
        <v>11</v>
      </c>
      <c r="M15">
        <v>12</v>
      </c>
      <c r="N15" s="4">
        <v>13</v>
      </c>
      <c r="O15">
        <v>14</v>
      </c>
      <c r="P15">
        <v>15</v>
      </c>
      <c r="Q15" s="4">
        <v>16</v>
      </c>
      <c r="R15">
        <v>17</v>
      </c>
      <c r="S15">
        <v>18</v>
      </c>
      <c r="T15" s="4">
        <v>19</v>
      </c>
      <c r="U15">
        <v>20</v>
      </c>
      <c r="V15">
        <v>21</v>
      </c>
      <c r="W15" s="4">
        <v>22</v>
      </c>
      <c r="X15">
        <v>23</v>
      </c>
      <c r="Y15">
        <v>24</v>
      </c>
      <c r="Z15" s="4">
        <v>25</v>
      </c>
      <c r="AA15">
        <v>26</v>
      </c>
      <c r="AB15">
        <v>27</v>
      </c>
      <c r="AC15" s="4">
        <v>28</v>
      </c>
      <c r="AD15">
        <v>29</v>
      </c>
      <c r="AE15">
        <v>30</v>
      </c>
      <c r="AF15" s="4">
        <v>31</v>
      </c>
      <c r="AG15">
        <v>32</v>
      </c>
      <c r="AH15">
        <v>33</v>
      </c>
      <c r="AI15" s="4">
        <v>34</v>
      </c>
      <c r="AJ15">
        <v>35</v>
      </c>
      <c r="AK15">
        <v>36</v>
      </c>
      <c r="AL15" s="4">
        <v>37</v>
      </c>
      <c r="AM15">
        <v>38</v>
      </c>
      <c r="AN15">
        <v>39</v>
      </c>
      <c r="AO15" s="4">
        <v>40</v>
      </c>
      <c r="AP15">
        <v>41</v>
      </c>
      <c r="AQ15">
        <v>42</v>
      </c>
      <c r="AR15" s="4">
        <v>43</v>
      </c>
      <c r="AS15">
        <v>44</v>
      </c>
      <c r="AT15">
        <v>45</v>
      </c>
      <c r="AU15" s="4">
        <v>46</v>
      </c>
      <c r="AV15">
        <v>47</v>
      </c>
      <c r="AW15">
        <v>48</v>
      </c>
      <c r="AX15" s="4">
        <v>49</v>
      </c>
      <c r="AY15">
        <v>50</v>
      </c>
      <c r="AZ15">
        <v>51</v>
      </c>
      <c r="BA15" s="4">
        <v>52</v>
      </c>
      <c r="BB15">
        <v>53</v>
      </c>
      <c r="BC15">
        <v>54</v>
      </c>
      <c r="BD15" s="4">
        <v>55</v>
      </c>
      <c r="BE15">
        <v>56</v>
      </c>
      <c r="BF15">
        <v>57</v>
      </c>
      <c r="BG15" s="4">
        <v>58</v>
      </c>
      <c r="BH15">
        <v>59</v>
      </c>
      <c r="BI15">
        <v>60</v>
      </c>
      <c r="BJ15" s="4">
        <v>61</v>
      </c>
      <c r="BK15">
        <v>62</v>
      </c>
      <c r="BL15">
        <v>63</v>
      </c>
      <c r="BM15" s="4">
        <v>64</v>
      </c>
      <c r="BN15">
        <v>65</v>
      </c>
      <c r="BO15">
        <v>66</v>
      </c>
      <c r="BP15" s="4">
        <v>67</v>
      </c>
      <c r="BQ15">
        <v>68</v>
      </c>
      <c r="BR15">
        <v>69</v>
      </c>
      <c r="BS15" s="4">
        <v>70</v>
      </c>
      <c r="BT15">
        <v>71</v>
      </c>
      <c r="BU15">
        <v>72</v>
      </c>
      <c r="BV15" s="4">
        <v>73</v>
      </c>
      <c r="BW15">
        <v>74</v>
      </c>
      <c r="BX15">
        <v>75</v>
      </c>
      <c r="BY15" s="4">
        <v>76</v>
      </c>
      <c r="BZ15">
        <v>77</v>
      </c>
      <c r="CA15">
        <v>78</v>
      </c>
      <c r="CB15" s="4">
        <v>79</v>
      </c>
      <c r="CC15">
        <v>80</v>
      </c>
      <c r="CD15">
        <v>81</v>
      </c>
      <c r="CE15" s="4">
        <v>82</v>
      </c>
      <c r="CF15">
        <v>83</v>
      </c>
      <c r="CG15">
        <v>84</v>
      </c>
      <c r="CH15" s="4">
        <v>85</v>
      </c>
      <c r="CI15">
        <v>86</v>
      </c>
      <c r="CJ15">
        <v>87</v>
      </c>
      <c r="CK15" s="4">
        <v>88</v>
      </c>
      <c r="CL15">
        <v>89</v>
      </c>
      <c r="CM15">
        <v>90</v>
      </c>
      <c r="CN15" s="4">
        <v>91</v>
      </c>
      <c r="CO15">
        <v>92</v>
      </c>
      <c r="CP15">
        <v>93</v>
      </c>
      <c r="CQ15" s="4">
        <v>94</v>
      </c>
      <c r="CR15">
        <v>95</v>
      </c>
      <c r="CS15">
        <v>96</v>
      </c>
      <c r="CT15" s="4">
        <v>97</v>
      </c>
      <c r="CU15">
        <v>98</v>
      </c>
      <c r="CV15">
        <v>99</v>
      </c>
      <c r="CW15" s="4">
        <v>100</v>
      </c>
      <c r="CX15">
        <v>101</v>
      </c>
      <c r="CY15">
        <v>102</v>
      </c>
      <c r="CZ15" s="4">
        <v>103</v>
      </c>
      <c r="DA15">
        <v>104</v>
      </c>
      <c r="DB15">
        <v>105</v>
      </c>
      <c r="DC15" s="4">
        <v>106</v>
      </c>
      <c r="DD15">
        <v>107</v>
      </c>
      <c r="DE15">
        <v>108</v>
      </c>
      <c r="DF15" s="4">
        <v>109</v>
      </c>
      <c r="DG15">
        <v>110</v>
      </c>
      <c r="DH15">
        <v>111</v>
      </c>
      <c r="DI15" s="4">
        <v>112</v>
      </c>
      <c r="DJ15">
        <v>113</v>
      </c>
      <c r="DK15">
        <v>114</v>
      </c>
      <c r="DL15" s="4">
        <v>115</v>
      </c>
      <c r="DM15">
        <v>116</v>
      </c>
      <c r="DN15">
        <v>117</v>
      </c>
      <c r="DO15" s="4">
        <v>118</v>
      </c>
      <c r="DP15">
        <v>119</v>
      </c>
      <c r="DQ15">
        <v>120</v>
      </c>
    </row>
    <row r="16" spans="1:121" x14ac:dyDescent="0.3">
      <c r="B16" s="4">
        <v>4</v>
      </c>
      <c r="C16" s="4">
        <v>19</v>
      </c>
      <c r="D16" s="4">
        <v>13.5</v>
      </c>
      <c r="E16" s="4">
        <v>37</v>
      </c>
      <c r="F16" s="4">
        <v>76</v>
      </c>
      <c r="G16" s="4">
        <v>23</v>
      </c>
      <c r="H16" s="4">
        <v>57.5</v>
      </c>
      <c r="I16" s="4">
        <v>70.5</v>
      </c>
      <c r="J16" s="4">
        <v>0</v>
      </c>
      <c r="K16" s="4">
        <v>0</v>
      </c>
      <c r="L16" s="4">
        <v>0</v>
      </c>
      <c r="M16" s="4">
        <v>0</v>
      </c>
      <c r="N16" s="4">
        <v>23.5</v>
      </c>
      <c r="O16" s="4">
        <v>135</v>
      </c>
      <c r="P16" s="4">
        <v>2</v>
      </c>
      <c r="Q16" s="4">
        <v>14</v>
      </c>
      <c r="R16" s="4">
        <v>40</v>
      </c>
      <c r="S16" s="4">
        <v>34.5</v>
      </c>
      <c r="T16" s="4">
        <v>76</v>
      </c>
      <c r="U16" s="4">
        <v>22</v>
      </c>
      <c r="V16" s="4">
        <v>6</v>
      </c>
      <c r="W16" s="4">
        <v>0</v>
      </c>
      <c r="X16" s="4">
        <v>1.5</v>
      </c>
      <c r="Y16" s="4">
        <v>2</v>
      </c>
      <c r="Z16" s="4">
        <v>3</v>
      </c>
      <c r="AA16" s="4">
        <v>0</v>
      </c>
      <c r="AB16" s="4">
        <v>14.5</v>
      </c>
      <c r="AC16" s="4">
        <v>0</v>
      </c>
      <c r="AD16" s="4">
        <v>45</v>
      </c>
      <c r="AE16" s="4">
        <v>35</v>
      </c>
      <c r="AF16" s="4">
        <v>2.5</v>
      </c>
      <c r="AG16" s="4">
        <v>12</v>
      </c>
      <c r="AH16" s="4">
        <v>2</v>
      </c>
      <c r="AI16" s="4">
        <v>3</v>
      </c>
      <c r="AJ16" s="4">
        <v>0</v>
      </c>
      <c r="AK16" s="4">
        <v>17.5</v>
      </c>
      <c r="AL16" s="4">
        <v>16</v>
      </c>
      <c r="AM16" s="4">
        <v>97</v>
      </c>
      <c r="AN16" s="4">
        <v>1</v>
      </c>
      <c r="AO16" s="4">
        <v>1</v>
      </c>
      <c r="AP16" s="4">
        <v>23.5</v>
      </c>
      <c r="AQ16" s="4">
        <v>9</v>
      </c>
      <c r="AR16" s="4">
        <v>17</v>
      </c>
      <c r="AS16" s="4">
        <v>28</v>
      </c>
      <c r="AT16" s="4">
        <v>2.5</v>
      </c>
      <c r="AU16" s="4">
        <v>0</v>
      </c>
      <c r="AV16" s="4">
        <v>0</v>
      </c>
      <c r="AW16" s="4">
        <v>3</v>
      </c>
      <c r="AX16" s="4">
        <v>17.5</v>
      </c>
      <c r="AY16" s="4">
        <v>73</v>
      </c>
      <c r="AZ16" s="4">
        <v>18.5</v>
      </c>
      <c r="BA16" s="4">
        <v>21</v>
      </c>
      <c r="BB16" s="4">
        <v>62.5</v>
      </c>
      <c r="BC16" s="4">
        <v>33.5</v>
      </c>
      <c r="BD16" s="4">
        <v>47.5</v>
      </c>
      <c r="BE16" s="4">
        <v>67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3</v>
      </c>
      <c r="BL16" s="4">
        <v>2</v>
      </c>
      <c r="BM16" s="4">
        <v>50</v>
      </c>
      <c r="BN16" s="4">
        <v>6.5</v>
      </c>
      <c r="BO16" s="4">
        <v>63</v>
      </c>
      <c r="BP16" s="4">
        <v>38.5</v>
      </c>
      <c r="BQ16" s="4">
        <v>109</v>
      </c>
      <c r="BR16" s="4">
        <v>2</v>
      </c>
      <c r="BS16" s="4">
        <v>0</v>
      </c>
      <c r="BT16" s="4">
        <v>0.5</v>
      </c>
      <c r="BU16" s="4">
        <v>1.5</v>
      </c>
      <c r="BV16" s="4">
        <v>6.5</v>
      </c>
      <c r="BW16" s="4">
        <v>35.5</v>
      </c>
      <c r="BX16" s="4">
        <v>1.5</v>
      </c>
      <c r="BY16" s="4">
        <v>13</v>
      </c>
      <c r="BZ16" s="4">
        <v>2.5</v>
      </c>
      <c r="CA16" s="4">
        <v>33.5</v>
      </c>
      <c r="CB16" s="4">
        <v>37</v>
      </c>
      <c r="CC16" s="4">
        <v>45.5</v>
      </c>
      <c r="CD16" s="4">
        <v>6</v>
      </c>
      <c r="CE16" s="4">
        <v>3</v>
      </c>
      <c r="CF16" s="4">
        <v>0</v>
      </c>
      <c r="CG16" s="4">
        <v>4.5</v>
      </c>
      <c r="CH16" s="4">
        <v>5</v>
      </c>
      <c r="CI16" s="4">
        <v>89</v>
      </c>
      <c r="CJ16" s="4">
        <v>45.5</v>
      </c>
      <c r="CK16" s="4">
        <v>23.5</v>
      </c>
      <c r="CL16" s="4">
        <v>22.5</v>
      </c>
      <c r="CM16" s="4">
        <v>31.5</v>
      </c>
      <c r="CN16" s="4">
        <v>15.5</v>
      </c>
      <c r="CO16" s="4">
        <v>13</v>
      </c>
      <c r="CP16" s="4">
        <v>2</v>
      </c>
      <c r="CQ16" s="4">
        <v>0</v>
      </c>
      <c r="CR16" s="4">
        <v>0</v>
      </c>
      <c r="CS16" s="4">
        <v>8</v>
      </c>
      <c r="CT16" s="4">
        <v>2</v>
      </c>
      <c r="CU16" s="4">
        <v>45.5</v>
      </c>
      <c r="CV16" s="4">
        <v>44</v>
      </c>
      <c r="CW16" s="4">
        <v>3.5</v>
      </c>
      <c r="CX16" s="4">
        <v>37.5</v>
      </c>
      <c r="CY16" s="4">
        <v>58</v>
      </c>
      <c r="CZ16" s="4">
        <v>17.5</v>
      </c>
      <c r="DA16" s="4">
        <v>19.5</v>
      </c>
      <c r="DB16" s="4">
        <v>2</v>
      </c>
      <c r="DC16" s="4">
        <v>4</v>
      </c>
      <c r="DD16" s="4">
        <v>1.5</v>
      </c>
      <c r="DE16" s="4">
        <v>0</v>
      </c>
      <c r="DF16" s="4">
        <v>83.5</v>
      </c>
      <c r="DG16" s="4">
        <v>41</v>
      </c>
      <c r="DH16" s="4">
        <v>56</v>
      </c>
      <c r="DI16" s="4">
        <v>2.5</v>
      </c>
      <c r="DJ16" s="4">
        <v>29.5</v>
      </c>
      <c r="DK16" s="4">
        <v>14</v>
      </c>
      <c r="DL16" s="4">
        <v>30</v>
      </c>
      <c r="DM16" s="4">
        <v>26</v>
      </c>
      <c r="DN16" s="4">
        <v>0</v>
      </c>
      <c r="DO16" s="4">
        <v>0</v>
      </c>
      <c r="DP16" s="4">
        <v>0</v>
      </c>
      <c r="DQ16" s="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E0BC-4F50-42C2-8ED2-ACB23ED701EF}">
  <dimension ref="A1:DQ16"/>
  <sheetViews>
    <sheetView workbookViewId="0">
      <selection activeCell="P22" sqref="P22"/>
    </sheetView>
  </sheetViews>
  <sheetFormatPr defaultRowHeight="14.4" x14ac:dyDescent="0.3"/>
  <sheetData>
    <row r="1" spans="1:12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21" x14ac:dyDescent="0.3">
      <c r="A2" s="1">
        <v>1384</v>
      </c>
      <c r="B2" s="1">
        <v>228.7</v>
      </c>
      <c r="C2" s="1">
        <v>111.9</v>
      </c>
      <c r="D2" s="1">
        <v>86.8</v>
      </c>
      <c r="E2" s="1">
        <v>10.7</v>
      </c>
      <c r="F2" s="1">
        <v>0</v>
      </c>
      <c r="G2" s="1">
        <v>0</v>
      </c>
      <c r="H2" s="1">
        <v>54.9</v>
      </c>
      <c r="I2" s="1">
        <v>177.6</v>
      </c>
      <c r="J2" s="1">
        <v>321.7</v>
      </c>
      <c r="K2" s="1">
        <v>387.1</v>
      </c>
      <c r="L2" s="1">
        <v>376.9</v>
      </c>
      <c r="M2" s="1">
        <v>300.2</v>
      </c>
    </row>
    <row r="3" spans="1:121" x14ac:dyDescent="0.3">
      <c r="A3" s="1">
        <v>1385</v>
      </c>
      <c r="B3" s="1">
        <v>203.1</v>
      </c>
      <c r="C3" s="1">
        <v>69.5</v>
      </c>
      <c r="D3" s="1">
        <v>3</v>
      </c>
      <c r="E3" s="1">
        <v>0</v>
      </c>
      <c r="F3" s="1">
        <v>0</v>
      </c>
      <c r="G3" s="1">
        <v>0</v>
      </c>
      <c r="H3" s="1">
        <v>4.8</v>
      </c>
      <c r="I3" s="1">
        <v>165.3</v>
      </c>
      <c r="J3" s="1">
        <v>274.60000000000002</v>
      </c>
      <c r="K3" s="1">
        <v>334.4</v>
      </c>
      <c r="L3" s="1">
        <v>332.7</v>
      </c>
      <c r="M3" s="1">
        <v>299.7</v>
      </c>
    </row>
    <row r="4" spans="1:121" x14ac:dyDescent="0.3">
      <c r="A4" s="1">
        <v>1386</v>
      </c>
      <c r="B4" s="1">
        <v>198.3</v>
      </c>
      <c r="C4" s="1">
        <v>110.1</v>
      </c>
      <c r="D4" s="1">
        <v>41.7</v>
      </c>
      <c r="E4" s="1">
        <v>0</v>
      </c>
      <c r="F4" s="1">
        <v>0</v>
      </c>
      <c r="G4" s="1">
        <v>0</v>
      </c>
      <c r="H4" s="1">
        <v>155.80000000000001</v>
      </c>
      <c r="I4" s="1">
        <v>259.60000000000002</v>
      </c>
      <c r="J4" s="1">
        <v>353.7</v>
      </c>
      <c r="K4" s="1">
        <v>385.3</v>
      </c>
      <c r="L4" s="1">
        <v>426.9</v>
      </c>
      <c r="M4" s="1">
        <v>302.10000000000002</v>
      </c>
    </row>
    <row r="5" spans="1:121" x14ac:dyDescent="0.3">
      <c r="A5" s="1">
        <v>1387</v>
      </c>
      <c r="B5" s="1">
        <v>211.8</v>
      </c>
      <c r="C5" s="1">
        <v>76.400000000000006</v>
      </c>
      <c r="D5" s="1">
        <v>36.9</v>
      </c>
      <c r="E5" s="1">
        <v>0</v>
      </c>
      <c r="F5" s="1">
        <v>0</v>
      </c>
      <c r="G5" s="1">
        <v>0</v>
      </c>
      <c r="H5" s="1">
        <v>72</v>
      </c>
      <c r="I5" s="1">
        <v>199.4</v>
      </c>
      <c r="J5" s="1">
        <v>313.60000000000002</v>
      </c>
      <c r="K5" s="1">
        <v>411</v>
      </c>
      <c r="L5" s="1">
        <v>323.3</v>
      </c>
      <c r="M5" s="1">
        <v>449.6</v>
      </c>
    </row>
    <row r="6" spans="1:121" x14ac:dyDescent="0.3">
      <c r="A6" s="1">
        <v>1388</v>
      </c>
      <c r="B6" s="1">
        <v>195.6</v>
      </c>
      <c r="C6" s="1">
        <v>78.099999999999994</v>
      </c>
      <c r="D6" s="1">
        <v>25.3</v>
      </c>
      <c r="E6" s="1">
        <v>31.3</v>
      </c>
      <c r="F6" s="1">
        <v>0</v>
      </c>
      <c r="G6" s="1">
        <v>90.9</v>
      </c>
      <c r="H6" s="1">
        <v>106</v>
      </c>
      <c r="I6" s="1">
        <v>170.3</v>
      </c>
      <c r="J6" s="1">
        <v>331</v>
      </c>
      <c r="K6" s="1">
        <v>443.3</v>
      </c>
      <c r="L6" s="1">
        <v>447.4</v>
      </c>
      <c r="M6" s="1">
        <v>373.6</v>
      </c>
    </row>
    <row r="7" spans="1:121" x14ac:dyDescent="0.3">
      <c r="A7" s="1">
        <v>1389</v>
      </c>
      <c r="B7" s="1">
        <v>231.5</v>
      </c>
      <c r="C7" s="1">
        <v>77.900000000000006</v>
      </c>
      <c r="D7" s="1">
        <v>10.5</v>
      </c>
      <c r="E7" s="1">
        <v>28.3</v>
      </c>
      <c r="F7" s="1">
        <v>0</v>
      </c>
      <c r="G7" s="1">
        <v>0</v>
      </c>
      <c r="H7" s="1">
        <v>94.1</v>
      </c>
      <c r="I7" s="1">
        <v>183.7</v>
      </c>
      <c r="J7" s="1">
        <v>330.4</v>
      </c>
      <c r="K7" s="1">
        <v>369</v>
      </c>
      <c r="L7" s="1">
        <v>413</v>
      </c>
      <c r="M7" s="1">
        <v>309.60000000000002</v>
      </c>
    </row>
    <row r="8" spans="1:121" x14ac:dyDescent="0.3">
      <c r="A8" s="1">
        <v>1390</v>
      </c>
      <c r="B8" s="1">
        <v>268.8</v>
      </c>
      <c r="C8" s="1">
        <v>129.4</v>
      </c>
      <c r="D8" s="1">
        <v>77</v>
      </c>
      <c r="E8" s="1">
        <v>27.6</v>
      </c>
      <c r="F8" s="1">
        <v>0</v>
      </c>
      <c r="G8" s="1">
        <v>42.7</v>
      </c>
      <c r="H8" s="1">
        <v>107.5</v>
      </c>
      <c r="I8" s="1">
        <v>140.5</v>
      </c>
      <c r="J8" s="1">
        <v>277.3</v>
      </c>
      <c r="K8" s="1">
        <v>370.2</v>
      </c>
      <c r="L8" s="1">
        <v>394.5</v>
      </c>
      <c r="M8" s="1">
        <v>343.6</v>
      </c>
    </row>
    <row r="9" spans="1:121" x14ac:dyDescent="0.3">
      <c r="A9" s="1">
        <v>1391</v>
      </c>
      <c r="B9" s="1">
        <v>196.1</v>
      </c>
      <c r="C9" s="1">
        <v>91.4</v>
      </c>
      <c r="D9" s="1">
        <v>40</v>
      </c>
      <c r="E9" s="1">
        <v>0</v>
      </c>
      <c r="F9" s="1">
        <v>0</v>
      </c>
      <c r="G9" s="1">
        <v>0</v>
      </c>
      <c r="H9" s="1">
        <v>165.1</v>
      </c>
      <c r="I9" s="1">
        <v>170.2</v>
      </c>
      <c r="J9" s="1">
        <v>279.5</v>
      </c>
      <c r="K9" s="1">
        <v>385.9</v>
      </c>
      <c r="L9" s="1">
        <v>385.8</v>
      </c>
      <c r="M9" s="1">
        <v>390.2</v>
      </c>
    </row>
    <row r="10" spans="1:121" x14ac:dyDescent="0.3">
      <c r="A10" s="1">
        <v>1392</v>
      </c>
      <c r="B10" s="1">
        <v>315</v>
      </c>
      <c r="C10" s="1">
        <v>125.7</v>
      </c>
      <c r="D10" s="1">
        <v>63</v>
      </c>
      <c r="E10" s="1">
        <v>0</v>
      </c>
      <c r="F10" s="1">
        <v>0</v>
      </c>
      <c r="G10" s="1">
        <v>0</v>
      </c>
      <c r="H10" s="1">
        <v>132.30000000000001</v>
      </c>
      <c r="I10" s="1">
        <v>206.2</v>
      </c>
      <c r="J10" s="1">
        <v>307.3</v>
      </c>
      <c r="K10" s="1">
        <v>431.6</v>
      </c>
      <c r="L10" s="1">
        <v>386.3</v>
      </c>
      <c r="M10" s="1">
        <v>344.6</v>
      </c>
    </row>
    <row r="11" spans="1:121" x14ac:dyDescent="0.3">
      <c r="A11" s="1">
        <v>1393</v>
      </c>
      <c r="B11" s="1">
        <v>213.6</v>
      </c>
      <c r="C11" s="1">
        <v>103.7</v>
      </c>
      <c r="D11" s="1">
        <v>0</v>
      </c>
      <c r="E11" s="1">
        <v>0</v>
      </c>
      <c r="F11" s="1">
        <v>0</v>
      </c>
      <c r="G11" s="1">
        <v>0</v>
      </c>
      <c r="H11" s="1">
        <v>105.1</v>
      </c>
      <c r="I11" s="1">
        <v>239.8</v>
      </c>
      <c r="J11" s="1">
        <v>351</v>
      </c>
      <c r="K11" s="1">
        <v>373.2</v>
      </c>
      <c r="L11" s="1">
        <v>360.3</v>
      </c>
      <c r="M11" s="1">
        <v>293.7</v>
      </c>
    </row>
    <row r="12" spans="1:121" x14ac:dyDescent="0.3">
      <c r="A12" s="1">
        <v>1394</v>
      </c>
      <c r="B12" s="1">
        <v>209.22500000000005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5" spans="1:121" x14ac:dyDescent="0.3">
      <c r="B15" s="4">
        <v>1</v>
      </c>
      <c r="C15">
        <v>2</v>
      </c>
      <c r="D15">
        <v>3</v>
      </c>
      <c r="E15" s="4">
        <v>4</v>
      </c>
      <c r="F15">
        <v>5</v>
      </c>
      <c r="G15">
        <v>6</v>
      </c>
      <c r="H15" s="4">
        <v>7</v>
      </c>
      <c r="I15">
        <v>8</v>
      </c>
      <c r="J15">
        <v>9</v>
      </c>
      <c r="K15" s="4">
        <v>10</v>
      </c>
      <c r="L15">
        <v>11</v>
      </c>
      <c r="M15">
        <v>12</v>
      </c>
      <c r="N15" s="4">
        <v>13</v>
      </c>
      <c r="O15">
        <v>14</v>
      </c>
      <c r="P15">
        <v>15</v>
      </c>
      <c r="Q15" s="4">
        <v>16</v>
      </c>
      <c r="R15">
        <v>17</v>
      </c>
      <c r="S15">
        <v>18</v>
      </c>
      <c r="T15" s="4">
        <v>19</v>
      </c>
      <c r="U15">
        <v>20</v>
      </c>
      <c r="V15">
        <v>21</v>
      </c>
      <c r="W15" s="4">
        <v>22</v>
      </c>
      <c r="X15">
        <v>23</v>
      </c>
      <c r="Y15">
        <v>24</v>
      </c>
      <c r="Z15" s="4">
        <v>25</v>
      </c>
      <c r="AA15">
        <v>26</v>
      </c>
      <c r="AB15">
        <v>27</v>
      </c>
      <c r="AC15" s="4">
        <v>28</v>
      </c>
      <c r="AD15">
        <v>29</v>
      </c>
      <c r="AE15">
        <v>30</v>
      </c>
      <c r="AF15" s="4">
        <v>31</v>
      </c>
      <c r="AG15">
        <v>32</v>
      </c>
      <c r="AH15">
        <v>33</v>
      </c>
      <c r="AI15" s="4">
        <v>34</v>
      </c>
      <c r="AJ15">
        <v>35</v>
      </c>
      <c r="AK15">
        <v>36</v>
      </c>
      <c r="AL15" s="4">
        <v>37</v>
      </c>
      <c r="AM15">
        <v>38</v>
      </c>
      <c r="AN15">
        <v>39</v>
      </c>
      <c r="AO15" s="4">
        <v>40</v>
      </c>
      <c r="AP15">
        <v>41</v>
      </c>
      <c r="AQ15">
        <v>42</v>
      </c>
      <c r="AR15" s="4">
        <v>43</v>
      </c>
      <c r="AS15">
        <v>44</v>
      </c>
      <c r="AT15">
        <v>45</v>
      </c>
      <c r="AU15" s="4">
        <v>46</v>
      </c>
      <c r="AV15">
        <v>47</v>
      </c>
      <c r="AW15">
        <v>48</v>
      </c>
      <c r="AX15" s="4">
        <v>49</v>
      </c>
      <c r="AY15">
        <v>50</v>
      </c>
      <c r="AZ15">
        <v>51</v>
      </c>
      <c r="BA15" s="4">
        <v>52</v>
      </c>
      <c r="BB15">
        <v>53</v>
      </c>
      <c r="BC15">
        <v>54</v>
      </c>
      <c r="BD15" s="4">
        <v>55</v>
      </c>
      <c r="BE15">
        <v>56</v>
      </c>
      <c r="BF15">
        <v>57</v>
      </c>
      <c r="BG15" s="4">
        <v>58</v>
      </c>
      <c r="BH15">
        <v>59</v>
      </c>
      <c r="BI15">
        <v>60</v>
      </c>
      <c r="BJ15" s="4">
        <v>61</v>
      </c>
      <c r="BK15">
        <v>62</v>
      </c>
      <c r="BL15">
        <v>63</v>
      </c>
      <c r="BM15" s="4">
        <v>64</v>
      </c>
      <c r="BN15">
        <v>65</v>
      </c>
      <c r="BO15">
        <v>66</v>
      </c>
      <c r="BP15" s="4">
        <v>67</v>
      </c>
      <c r="BQ15">
        <v>68</v>
      </c>
      <c r="BR15">
        <v>69</v>
      </c>
      <c r="BS15" s="4">
        <v>70</v>
      </c>
      <c r="BT15">
        <v>71</v>
      </c>
      <c r="BU15">
        <v>72</v>
      </c>
      <c r="BV15" s="4">
        <v>73</v>
      </c>
      <c r="BW15">
        <v>74</v>
      </c>
      <c r="BX15">
        <v>75</v>
      </c>
      <c r="BY15" s="4">
        <v>76</v>
      </c>
      <c r="BZ15">
        <v>77</v>
      </c>
      <c r="CA15">
        <v>78</v>
      </c>
      <c r="CB15" s="4">
        <v>79</v>
      </c>
      <c r="CC15">
        <v>80</v>
      </c>
      <c r="CD15">
        <v>81</v>
      </c>
      <c r="CE15" s="4">
        <v>82</v>
      </c>
      <c r="CF15">
        <v>83</v>
      </c>
      <c r="CG15">
        <v>84</v>
      </c>
      <c r="CH15" s="4">
        <v>85</v>
      </c>
      <c r="CI15">
        <v>86</v>
      </c>
      <c r="CJ15">
        <v>87</v>
      </c>
      <c r="CK15" s="4">
        <v>88</v>
      </c>
      <c r="CL15">
        <v>89</v>
      </c>
      <c r="CM15">
        <v>90</v>
      </c>
      <c r="CN15" s="4">
        <v>91</v>
      </c>
      <c r="CO15">
        <v>92</v>
      </c>
      <c r="CP15">
        <v>93</v>
      </c>
      <c r="CQ15" s="4">
        <v>94</v>
      </c>
      <c r="CR15">
        <v>95</v>
      </c>
      <c r="CS15">
        <v>96</v>
      </c>
      <c r="CT15" s="4">
        <v>97</v>
      </c>
      <c r="CU15">
        <v>98</v>
      </c>
      <c r="CV15">
        <v>99</v>
      </c>
      <c r="CW15" s="4">
        <v>100</v>
      </c>
      <c r="CX15">
        <v>101</v>
      </c>
      <c r="CY15">
        <v>102</v>
      </c>
      <c r="CZ15" s="4">
        <v>103</v>
      </c>
      <c r="DA15">
        <v>104</v>
      </c>
      <c r="DB15">
        <v>105</v>
      </c>
      <c r="DC15" s="4">
        <v>106</v>
      </c>
      <c r="DD15">
        <v>107</v>
      </c>
      <c r="DE15">
        <v>108</v>
      </c>
      <c r="DF15" s="4">
        <v>109</v>
      </c>
      <c r="DG15">
        <v>110</v>
      </c>
      <c r="DH15">
        <v>111</v>
      </c>
      <c r="DI15" s="4">
        <v>112</v>
      </c>
      <c r="DJ15">
        <v>113</v>
      </c>
      <c r="DK15">
        <v>114</v>
      </c>
      <c r="DL15" s="4">
        <v>115</v>
      </c>
      <c r="DM15">
        <v>116</v>
      </c>
      <c r="DN15">
        <v>117</v>
      </c>
      <c r="DO15" s="4">
        <v>118</v>
      </c>
      <c r="DP15">
        <v>119</v>
      </c>
      <c r="DQ15">
        <v>120</v>
      </c>
    </row>
    <row r="16" spans="1:121" x14ac:dyDescent="0.3">
      <c r="B16" s="4">
        <v>228.7</v>
      </c>
      <c r="C16" s="4">
        <v>111.9</v>
      </c>
      <c r="D16" s="4">
        <v>86.8</v>
      </c>
      <c r="E16" s="4">
        <v>10.7</v>
      </c>
      <c r="F16" s="4">
        <v>0</v>
      </c>
      <c r="G16" s="4">
        <v>0</v>
      </c>
      <c r="H16" s="4">
        <v>54.9</v>
      </c>
      <c r="I16" s="4">
        <v>177.6</v>
      </c>
      <c r="J16" s="4">
        <v>321.7</v>
      </c>
      <c r="K16" s="4">
        <v>387.1</v>
      </c>
      <c r="L16" s="4">
        <v>376.9</v>
      </c>
      <c r="M16" s="4">
        <v>300.2</v>
      </c>
      <c r="N16" s="4">
        <v>203.1</v>
      </c>
      <c r="O16" s="4">
        <v>69.5</v>
      </c>
      <c r="P16" s="4">
        <v>3</v>
      </c>
      <c r="Q16" s="4">
        <v>0</v>
      </c>
      <c r="R16" s="4">
        <v>0</v>
      </c>
      <c r="S16" s="4">
        <v>0</v>
      </c>
      <c r="T16" s="4">
        <v>4.8</v>
      </c>
      <c r="U16" s="4">
        <v>165.3</v>
      </c>
      <c r="V16" s="4">
        <v>274.60000000000002</v>
      </c>
      <c r="W16" s="4">
        <v>334.4</v>
      </c>
      <c r="X16" s="4">
        <v>332.7</v>
      </c>
      <c r="Y16" s="4">
        <v>299.7</v>
      </c>
      <c r="Z16" s="4">
        <v>198.3</v>
      </c>
      <c r="AA16" s="4">
        <v>110.1</v>
      </c>
      <c r="AB16" s="4">
        <v>41.7</v>
      </c>
      <c r="AC16" s="4">
        <v>0</v>
      </c>
      <c r="AD16" s="4">
        <v>0</v>
      </c>
      <c r="AE16" s="4">
        <v>0</v>
      </c>
      <c r="AF16" s="4">
        <v>155.80000000000001</v>
      </c>
      <c r="AG16" s="4">
        <v>259.60000000000002</v>
      </c>
      <c r="AH16" s="4">
        <v>353.7</v>
      </c>
      <c r="AI16" s="4">
        <v>385.3</v>
      </c>
      <c r="AJ16" s="4">
        <v>426.9</v>
      </c>
      <c r="AK16" s="4">
        <v>302.10000000000002</v>
      </c>
      <c r="AL16" s="4">
        <v>211.8</v>
      </c>
      <c r="AM16" s="4">
        <v>76.400000000000006</v>
      </c>
      <c r="AN16" s="4">
        <v>36.9</v>
      </c>
      <c r="AO16" s="4">
        <v>0</v>
      </c>
      <c r="AP16" s="4">
        <v>0</v>
      </c>
      <c r="AQ16" s="4">
        <v>0</v>
      </c>
      <c r="AR16" s="4">
        <v>72</v>
      </c>
      <c r="AS16" s="4">
        <v>199.4</v>
      </c>
      <c r="AT16" s="4">
        <v>313.60000000000002</v>
      </c>
      <c r="AU16" s="4">
        <v>411</v>
      </c>
      <c r="AV16" s="4">
        <v>323.3</v>
      </c>
      <c r="AW16" s="4">
        <v>449.6</v>
      </c>
      <c r="AX16" s="4">
        <v>195.6</v>
      </c>
      <c r="AY16" s="4">
        <v>78.099999999999994</v>
      </c>
      <c r="AZ16" s="4">
        <v>25.3</v>
      </c>
      <c r="BA16" s="4">
        <v>31.3</v>
      </c>
      <c r="BB16" s="4">
        <v>0</v>
      </c>
      <c r="BC16" s="4">
        <v>90.9</v>
      </c>
      <c r="BD16" s="4">
        <v>106</v>
      </c>
      <c r="BE16" s="4">
        <v>170.3</v>
      </c>
      <c r="BF16" s="4">
        <v>331</v>
      </c>
      <c r="BG16" s="4">
        <v>443.3</v>
      </c>
      <c r="BH16" s="4">
        <v>447.4</v>
      </c>
      <c r="BI16" s="4">
        <v>373.6</v>
      </c>
      <c r="BJ16" s="4">
        <v>231.5</v>
      </c>
      <c r="BK16" s="4">
        <v>77.900000000000006</v>
      </c>
      <c r="BL16" s="4">
        <v>10.5</v>
      </c>
      <c r="BM16" s="4">
        <v>28.3</v>
      </c>
      <c r="BN16" s="4">
        <v>0</v>
      </c>
      <c r="BO16" s="4">
        <v>0</v>
      </c>
      <c r="BP16" s="4">
        <v>94.1</v>
      </c>
      <c r="BQ16" s="4">
        <v>183.7</v>
      </c>
      <c r="BR16" s="4">
        <v>330.4</v>
      </c>
      <c r="BS16" s="4">
        <v>369</v>
      </c>
      <c r="BT16" s="4">
        <v>413</v>
      </c>
      <c r="BU16" s="4">
        <v>309.60000000000002</v>
      </c>
      <c r="BV16" s="4">
        <v>268.8</v>
      </c>
      <c r="BW16" s="4">
        <v>129.4</v>
      </c>
      <c r="BX16" s="4">
        <v>77</v>
      </c>
      <c r="BY16" s="4">
        <v>27.6</v>
      </c>
      <c r="BZ16" s="4">
        <v>0</v>
      </c>
      <c r="CA16" s="4">
        <v>42.7</v>
      </c>
      <c r="CB16" s="4">
        <v>107.5</v>
      </c>
      <c r="CC16" s="4">
        <v>140.5</v>
      </c>
      <c r="CD16" s="4">
        <v>277.3</v>
      </c>
      <c r="CE16" s="4">
        <v>370.2</v>
      </c>
      <c r="CF16" s="4">
        <v>394.5</v>
      </c>
      <c r="CG16" s="4">
        <v>343.6</v>
      </c>
      <c r="CH16" s="4">
        <v>196.1</v>
      </c>
      <c r="CI16" s="4">
        <v>91.4</v>
      </c>
      <c r="CJ16" s="4">
        <v>40</v>
      </c>
      <c r="CK16" s="4">
        <v>0</v>
      </c>
      <c r="CL16" s="4">
        <v>0</v>
      </c>
      <c r="CM16" s="4">
        <v>0</v>
      </c>
      <c r="CN16" s="4">
        <v>165.1</v>
      </c>
      <c r="CO16" s="4">
        <v>170.2</v>
      </c>
      <c r="CP16" s="4">
        <v>279.5</v>
      </c>
      <c r="CQ16" s="4">
        <v>385.9</v>
      </c>
      <c r="CR16" s="4">
        <v>385.8</v>
      </c>
      <c r="CS16" s="4">
        <v>390.2</v>
      </c>
      <c r="CT16" s="4">
        <v>315</v>
      </c>
      <c r="CU16" s="4">
        <v>125.7</v>
      </c>
      <c r="CV16" s="4">
        <v>63</v>
      </c>
      <c r="CW16" s="4">
        <v>0</v>
      </c>
      <c r="CX16" s="4">
        <v>0</v>
      </c>
      <c r="CY16" s="4">
        <v>0</v>
      </c>
      <c r="CZ16" s="4">
        <v>132.30000000000001</v>
      </c>
      <c r="DA16" s="4">
        <v>206.2</v>
      </c>
      <c r="DB16" s="4">
        <v>307.3</v>
      </c>
      <c r="DC16" s="4">
        <v>431.6</v>
      </c>
      <c r="DD16" s="4">
        <v>386.3</v>
      </c>
      <c r="DE16" s="4">
        <v>344.6</v>
      </c>
      <c r="DF16" s="4">
        <v>213.6</v>
      </c>
      <c r="DG16" s="4">
        <v>103.7</v>
      </c>
      <c r="DH16" s="4">
        <v>0</v>
      </c>
      <c r="DI16" s="4">
        <v>0</v>
      </c>
      <c r="DJ16" s="4">
        <v>0</v>
      </c>
      <c r="DK16" s="4">
        <v>0</v>
      </c>
      <c r="DL16" s="4">
        <v>105.1</v>
      </c>
      <c r="DM16" s="4">
        <v>239.8</v>
      </c>
      <c r="DN16" s="4">
        <v>351</v>
      </c>
      <c r="DO16" s="4">
        <v>373.2</v>
      </c>
      <c r="DP16" s="4">
        <v>360.3</v>
      </c>
      <c r="DQ16" s="4">
        <v>293.7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8695-D6BE-425A-87FA-529599325313}">
  <dimension ref="A1:M12"/>
  <sheetViews>
    <sheetView workbookViewId="0">
      <selection activeCell="B1" sqref="B1:M1"/>
    </sheetView>
  </sheetViews>
  <sheetFormatPr defaultRowHeight="14.4" x14ac:dyDescent="0.3"/>
  <sheetData>
    <row r="1" spans="1:13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1384</v>
      </c>
      <c r="B2" s="1">
        <v>0.06</v>
      </c>
      <c r="C2" s="1">
        <v>0.04</v>
      </c>
      <c r="D2" s="1">
        <v>0.03</v>
      </c>
      <c r="E2" s="1">
        <v>0.04</v>
      </c>
      <c r="F2" s="1">
        <v>0.03</v>
      </c>
      <c r="G2" s="1">
        <v>0.06</v>
      </c>
      <c r="H2" s="1">
        <v>7.0000000000000007E-2</v>
      </c>
      <c r="I2" s="1">
        <v>0.1</v>
      </c>
      <c r="J2" s="1">
        <v>0.13</v>
      </c>
      <c r="K2" s="1">
        <v>0.17</v>
      </c>
      <c r="L2" s="1">
        <v>0.18</v>
      </c>
      <c r="M2" s="1">
        <v>0.09</v>
      </c>
    </row>
    <row r="3" spans="1:13" x14ac:dyDescent="0.3">
      <c r="A3" s="1">
        <v>1385</v>
      </c>
      <c r="B3" s="1">
        <v>0.06</v>
      </c>
      <c r="C3" s="1">
        <v>0.04</v>
      </c>
      <c r="D3" s="1">
        <v>0.03</v>
      </c>
      <c r="E3" s="1">
        <v>0.04</v>
      </c>
      <c r="F3" s="1">
        <v>0.03</v>
      </c>
      <c r="G3" s="1">
        <v>0.06</v>
      </c>
      <c r="H3" s="1">
        <v>7.0000000000000007E-2</v>
      </c>
      <c r="I3" s="1">
        <v>0.1</v>
      </c>
      <c r="J3" s="1">
        <v>0.13</v>
      </c>
      <c r="K3" s="1">
        <v>0.17</v>
      </c>
      <c r="L3" s="1">
        <v>0.18</v>
      </c>
      <c r="M3" s="1">
        <v>0.09</v>
      </c>
    </row>
    <row r="4" spans="1:13" x14ac:dyDescent="0.3">
      <c r="A4" s="1">
        <v>1386</v>
      </c>
      <c r="B4" s="1">
        <v>0.06</v>
      </c>
      <c r="C4" s="1">
        <v>0.04</v>
      </c>
      <c r="D4" s="1">
        <v>0.03</v>
      </c>
      <c r="E4" s="1">
        <v>0.04</v>
      </c>
      <c r="F4" s="1">
        <v>0.03</v>
      </c>
      <c r="G4" s="1">
        <v>0.06</v>
      </c>
      <c r="H4" s="1">
        <v>7.0000000000000007E-2</v>
      </c>
      <c r="I4" s="1">
        <v>0.1</v>
      </c>
      <c r="J4" s="1">
        <v>0.13</v>
      </c>
      <c r="K4" s="1">
        <v>0.17</v>
      </c>
      <c r="L4" s="1">
        <v>0.18</v>
      </c>
      <c r="M4" s="1">
        <v>0.09</v>
      </c>
    </row>
    <row r="5" spans="1:13" x14ac:dyDescent="0.3">
      <c r="A5" s="1">
        <v>1387</v>
      </c>
      <c r="B5" s="1">
        <v>0.06</v>
      </c>
      <c r="C5" s="1">
        <v>0.04</v>
      </c>
      <c r="D5" s="1">
        <v>0.03</v>
      </c>
      <c r="E5" s="1">
        <v>0.04</v>
      </c>
      <c r="F5" s="1">
        <v>0.03</v>
      </c>
      <c r="G5" s="1">
        <v>0.06</v>
      </c>
      <c r="H5" s="1">
        <v>7.0000000000000007E-2</v>
      </c>
      <c r="I5" s="1">
        <v>0.1</v>
      </c>
      <c r="J5" s="1">
        <v>0.13</v>
      </c>
      <c r="K5" s="1">
        <v>0.17</v>
      </c>
      <c r="L5" s="1">
        <v>0.18</v>
      </c>
      <c r="M5" s="1">
        <v>0.09</v>
      </c>
    </row>
    <row r="6" spans="1:13" x14ac:dyDescent="0.3">
      <c r="A6" s="1">
        <v>1388</v>
      </c>
      <c r="B6" s="1">
        <v>0.06</v>
      </c>
      <c r="C6" s="1">
        <v>0.04</v>
      </c>
      <c r="D6" s="1">
        <v>0.03</v>
      </c>
      <c r="E6" s="1">
        <v>0.04</v>
      </c>
      <c r="F6" s="1">
        <v>0.03</v>
      </c>
      <c r="G6" s="1">
        <v>0.06</v>
      </c>
      <c r="H6" s="1">
        <v>7.0000000000000007E-2</v>
      </c>
      <c r="I6" s="1">
        <v>0.1</v>
      </c>
      <c r="J6" s="1">
        <v>0.13</v>
      </c>
      <c r="K6" s="1">
        <v>0.17</v>
      </c>
      <c r="L6" s="1">
        <v>0.18</v>
      </c>
      <c r="M6" s="1">
        <v>0.09</v>
      </c>
    </row>
    <row r="7" spans="1:13" x14ac:dyDescent="0.3">
      <c r="A7" s="1">
        <v>1389</v>
      </c>
      <c r="B7" s="1">
        <v>0.06</v>
      </c>
      <c r="C7" s="1">
        <v>0.04</v>
      </c>
      <c r="D7" s="1">
        <v>0.03</v>
      </c>
      <c r="E7" s="1">
        <v>0.04</v>
      </c>
      <c r="F7" s="1">
        <v>0.03</v>
      </c>
      <c r="G7" s="1">
        <v>0.06</v>
      </c>
      <c r="H7" s="1">
        <v>7.0000000000000007E-2</v>
      </c>
      <c r="I7" s="1">
        <v>0.1</v>
      </c>
      <c r="J7" s="1">
        <v>0.13</v>
      </c>
      <c r="K7" s="1">
        <v>0.17</v>
      </c>
      <c r="L7" s="1">
        <v>0.18</v>
      </c>
      <c r="M7" s="1">
        <v>0.09</v>
      </c>
    </row>
    <row r="8" spans="1:13" x14ac:dyDescent="0.3">
      <c r="A8" s="1">
        <v>1390</v>
      </c>
      <c r="B8" s="1">
        <v>0.06</v>
      </c>
      <c r="C8" s="1">
        <v>0.04</v>
      </c>
      <c r="D8" s="1">
        <v>0.03</v>
      </c>
      <c r="E8" s="1">
        <v>0.04</v>
      </c>
      <c r="F8" s="1">
        <v>0.03</v>
      </c>
      <c r="G8" s="1">
        <v>0.06</v>
      </c>
      <c r="H8" s="1">
        <v>7.0000000000000007E-2</v>
      </c>
      <c r="I8" s="1">
        <v>0.1</v>
      </c>
      <c r="J8" s="1">
        <v>0.13</v>
      </c>
      <c r="K8" s="1">
        <v>0.17</v>
      </c>
      <c r="L8" s="1">
        <v>0.18</v>
      </c>
      <c r="M8" s="1">
        <v>0.09</v>
      </c>
    </row>
    <row r="9" spans="1:13" x14ac:dyDescent="0.3">
      <c r="A9" s="1">
        <v>1391</v>
      </c>
      <c r="B9" s="1">
        <v>0.06</v>
      </c>
      <c r="C9" s="1">
        <v>0.04</v>
      </c>
      <c r="D9" s="1">
        <v>0.03</v>
      </c>
      <c r="E9" s="1">
        <v>0.04</v>
      </c>
      <c r="F9" s="1">
        <v>0.03</v>
      </c>
      <c r="G9" s="1">
        <v>0.06</v>
      </c>
      <c r="H9" s="1">
        <v>7.0000000000000007E-2</v>
      </c>
      <c r="I9" s="1">
        <v>0.1</v>
      </c>
      <c r="J9" s="1">
        <v>0.13</v>
      </c>
      <c r="K9" s="1">
        <v>0.17</v>
      </c>
      <c r="L9" s="1">
        <v>0.18</v>
      </c>
      <c r="M9" s="1">
        <v>0.09</v>
      </c>
    </row>
    <row r="10" spans="1:13" x14ac:dyDescent="0.3">
      <c r="A10" s="1">
        <v>1392</v>
      </c>
      <c r="B10" s="1">
        <v>0.06</v>
      </c>
      <c r="C10" s="1">
        <v>0.04</v>
      </c>
      <c r="D10" s="1">
        <v>0.03</v>
      </c>
      <c r="E10" s="1">
        <v>0.04</v>
      </c>
      <c r="F10" s="1">
        <v>0.03</v>
      </c>
      <c r="G10" s="1">
        <v>0.06</v>
      </c>
      <c r="H10" s="1">
        <v>7.0000000000000007E-2</v>
      </c>
      <c r="I10" s="1">
        <v>0.1</v>
      </c>
      <c r="J10" s="1">
        <v>0.13</v>
      </c>
      <c r="K10" s="1">
        <v>0.17</v>
      </c>
      <c r="L10" s="1">
        <v>0.18</v>
      </c>
      <c r="M10" s="1">
        <v>0.09</v>
      </c>
    </row>
    <row r="11" spans="1:13" x14ac:dyDescent="0.3">
      <c r="A11" s="1">
        <v>1393</v>
      </c>
      <c r="B11" s="1">
        <v>0.06</v>
      </c>
      <c r="C11" s="1">
        <v>0.04</v>
      </c>
      <c r="D11" s="1">
        <v>0.03</v>
      </c>
      <c r="E11" s="1">
        <v>0.04</v>
      </c>
      <c r="F11" s="1">
        <v>0.03</v>
      </c>
      <c r="G11" s="1">
        <v>0.06</v>
      </c>
      <c r="H11" s="1">
        <v>7.0000000000000007E-2</v>
      </c>
      <c r="I11" s="1">
        <v>0.1</v>
      </c>
      <c r="J11" s="1">
        <v>0.13</v>
      </c>
      <c r="K11" s="1">
        <v>0.17</v>
      </c>
      <c r="L11" s="1">
        <v>0.18</v>
      </c>
      <c r="M11" s="1">
        <v>0.09</v>
      </c>
    </row>
    <row r="12" spans="1:13" x14ac:dyDescent="0.3">
      <c r="A12" s="1">
        <v>1394</v>
      </c>
      <c r="B12" s="1">
        <v>0.06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5429-BD44-41D5-A323-6C59E05FD3F2}">
  <dimension ref="A1:M14"/>
  <sheetViews>
    <sheetView workbookViewId="0">
      <selection activeCell="E17" sqref="E17"/>
    </sheetView>
  </sheetViews>
  <sheetFormatPr defaultRowHeight="14.4" x14ac:dyDescent="0.3"/>
  <sheetData>
    <row r="1" spans="1:13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 s="8">
        <v>30</v>
      </c>
      <c r="C2" s="8">
        <v>30</v>
      </c>
      <c r="D2" s="8">
        <v>30</v>
      </c>
      <c r="E2" s="8">
        <v>30</v>
      </c>
      <c r="F2" s="8">
        <v>30</v>
      </c>
      <c r="G2" s="8">
        <v>29</v>
      </c>
      <c r="H2" s="8">
        <v>31</v>
      </c>
      <c r="I2" s="8">
        <v>31</v>
      </c>
      <c r="J2" s="8">
        <v>31</v>
      </c>
      <c r="K2" s="8">
        <v>31</v>
      </c>
      <c r="L2" s="8">
        <v>31</v>
      </c>
      <c r="M2" s="8">
        <v>31</v>
      </c>
    </row>
    <row r="3" spans="1:13" x14ac:dyDescent="0.3">
      <c r="A3" s="1" t="s">
        <v>13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3">
      <c r="A4" s="1">
        <v>1384</v>
      </c>
      <c r="B4" s="1">
        <v>720</v>
      </c>
      <c r="C4" s="1">
        <v>720</v>
      </c>
      <c r="D4" s="1">
        <v>720</v>
      </c>
      <c r="E4" s="1">
        <v>720</v>
      </c>
      <c r="F4" s="1">
        <v>720</v>
      </c>
      <c r="G4" s="1">
        <v>696</v>
      </c>
      <c r="H4" s="1">
        <v>744</v>
      </c>
      <c r="I4" s="1">
        <v>744</v>
      </c>
      <c r="J4" s="1">
        <v>744</v>
      </c>
      <c r="K4" s="1">
        <v>744</v>
      </c>
      <c r="L4" s="1">
        <v>744</v>
      </c>
      <c r="M4" s="1">
        <v>744</v>
      </c>
    </row>
    <row r="5" spans="1:13" x14ac:dyDescent="0.3">
      <c r="A5" s="1">
        <v>1385</v>
      </c>
      <c r="B5" s="1">
        <v>720</v>
      </c>
      <c r="C5" s="1">
        <v>720</v>
      </c>
      <c r="D5" s="1">
        <v>720</v>
      </c>
      <c r="E5" s="1">
        <v>720</v>
      </c>
      <c r="F5" s="1">
        <v>720</v>
      </c>
      <c r="G5" s="1">
        <v>696</v>
      </c>
      <c r="H5" s="1">
        <v>744</v>
      </c>
      <c r="I5" s="1">
        <v>744</v>
      </c>
      <c r="J5" s="1">
        <v>744</v>
      </c>
      <c r="K5" s="1">
        <v>744</v>
      </c>
      <c r="L5" s="1">
        <v>744</v>
      </c>
      <c r="M5" s="1">
        <v>744</v>
      </c>
    </row>
    <row r="6" spans="1:13" x14ac:dyDescent="0.3">
      <c r="A6" s="1">
        <v>1386</v>
      </c>
      <c r="B6" s="1">
        <v>720</v>
      </c>
      <c r="C6" s="1">
        <v>720</v>
      </c>
      <c r="D6" s="1">
        <v>720</v>
      </c>
      <c r="E6" s="1">
        <v>720</v>
      </c>
      <c r="F6" s="1">
        <v>720</v>
      </c>
      <c r="G6" s="1">
        <v>696</v>
      </c>
      <c r="H6" s="1">
        <v>744</v>
      </c>
      <c r="I6" s="1">
        <v>744</v>
      </c>
      <c r="J6" s="1">
        <v>744</v>
      </c>
      <c r="K6" s="1">
        <v>744</v>
      </c>
      <c r="L6" s="1">
        <v>744</v>
      </c>
      <c r="M6" s="1">
        <v>744</v>
      </c>
    </row>
    <row r="7" spans="1:13" x14ac:dyDescent="0.3">
      <c r="A7" s="1">
        <v>1387</v>
      </c>
      <c r="B7" s="1">
        <v>720</v>
      </c>
      <c r="C7" s="1">
        <v>720</v>
      </c>
      <c r="D7" s="1">
        <v>720</v>
      </c>
      <c r="E7" s="1">
        <v>720</v>
      </c>
      <c r="F7" s="1">
        <v>720</v>
      </c>
      <c r="G7" s="1">
        <v>696</v>
      </c>
      <c r="H7" s="1">
        <v>744</v>
      </c>
      <c r="I7" s="1">
        <v>744</v>
      </c>
      <c r="J7" s="1">
        <v>744</v>
      </c>
      <c r="K7" s="1">
        <v>744</v>
      </c>
      <c r="L7" s="1">
        <v>744</v>
      </c>
      <c r="M7" s="1">
        <v>744</v>
      </c>
    </row>
    <row r="8" spans="1:13" x14ac:dyDescent="0.3">
      <c r="A8" s="1">
        <v>1388</v>
      </c>
      <c r="B8" s="1">
        <v>720</v>
      </c>
      <c r="C8" s="1">
        <v>720</v>
      </c>
      <c r="D8" s="1">
        <v>720</v>
      </c>
      <c r="E8" s="1">
        <v>720</v>
      </c>
      <c r="F8" s="1">
        <v>720</v>
      </c>
      <c r="G8" s="1">
        <v>696</v>
      </c>
      <c r="H8" s="1">
        <v>744</v>
      </c>
      <c r="I8" s="1">
        <v>744</v>
      </c>
      <c r="J8" s="1">
        <v>744</v>
      </c>
      <c r="K8" s="1">
        <v>744</v>
      </c>
      <c r="L8" s="1">
        <v>744</v>
      </c>
      <c r="M8" s="1">
        <v>744</v>
      </c>
    </row>
    <row r="9" spans="1:13" x14ac:dyDescent="0.3">
      <c r="A9" s="1">
        <v>1389</v>
      </c>
      <c r="B9" s="1">
        <v>720</v>
      </c>
      <c r="C9" s="1">
        <v>720</v>
      </c>
      <c r="D9" s="1">
        <v>720</v>
      </c>
      <c r="E9" s="1">
        <v>720</v>
      </c>
      <c r="F9" s="1">
        <v>720</v>
      </c>
      <c r="G9" s="1">
        <v>696</v>
      </c>
      <c r="H9" s="1">
        <v>744</v>
      </c>
      <c r="I9" s="1">
        <v>744</v>
      </c>
      <c r="J9" s="1">
        <v>744</v>
      </c>
      <c r="K9" s="1">
        <v>744</v>
      </c>
      <c r="L9" s="1">
        <v>744</v>
      </c>
      <c r="M9" s="1">
        <v>744</v>
      </c>
    </row>
    <row r="10" spans="1:13" x14ac:dyDescent="0.3">
      <c r="A10" s="1">
        <v>1390</v>
      </c>
      <c r="B10" s="1">
        <v>720</v>
      </c>
      <c r="C10" s="1">
        <v>720</v>
      </c>
      <c r="D10" s="1">
        <v>720</v>
      </c>
      <c r="E10" s="1">
        <v>720</v>
      </c>
      <c r="F10" s="1">
        <v>720</v>
      </c>
      <c r="G10" s="1">
        <v>696</v>
      </c>
      <c r="H10" s="1">
        <v>744</v>
      </c>
      <c r="I10" s="1">
        <v>744</v>
      </c>
      <c r="J10" s="1">
        <v>744</v>
      </c>
      <c r="K10" s="1">
        <v>744</v>
      </c>
      <c r="L10" s="1">
        <v>744</v>
      </c>
      <c r="M10" s="1">
        <v>744</v>
      </c>
    </row>
    <row r="11" spans="1:13" x14ac:dyDescent="0.3">
      <c r="A11" s="1">
        <v>1391</v>
      </c>
      <c r="B11" s="1">
        <v>720</v>
      </c>
      <c r="C11" s="1">
        <v>720</v>
      </c>
      <c r="D11" s="1">
        <v>720</v>
      </c>
      <c r="E11" s="1">
        <v>720</v>
      </c>
      <c r="F11" s="1">
        <v>720</v>
      </c>
      <c r="G11" s="1">
        <v>696</v>
      </c>
      <c r="H11" s="1">
        <v>744</v>
      </c>
      <c r="I11" s="1">
        <v>744</v>
      </c>
      <c r="J11" s="1">
        <v>744</v>
      </c>
      <c r="K11" s="1">
        <v>744</v>
      </c>
      <c r="L11" s="1">
        <v>744</v>
      </c>
      <c r="M11" s="1">
        <v>744</v>
      </c>
    </row>
    <row r="12" spans="1:13" x14ac:dyDescent="0.3">
      <c r="A12" s="1">
        <v>1392</v>
      </c>
      <c r="B12" s="1">
        <v>720</v>
      </c>
      <c r="C12" s="1">
        <v>720</v>
      </c>
      <c r="D12" s="1">
        <v>720</v>
      </c>
      <c r="E12" s="1">
        <v>720</v>
      </c>
      <c r="F12" s="1">
        <v>720</v>
      </c>
      <c r="G12" s="1">
        <v>696</v>
      </c>
      <c r="H12" s="1">
        <v>744</v>
      </c>
      <c r="I12" s="1">
        <v>744</v>
      </c>
      <c r="J12" s="1">
        <v>744</v>
      </c>
      <c r="K12" s="1">
        <v>744</v>
      </c>
      <c r="L12" s="1">
        <v>744</v>
      </c>
      <c r="M12" s="1">
        <v>744</v>
      </c>
    </row>
    <row r="13" spans="1:13" x14ac:dyDescent="0.3">
      <c r="A13" s="1">
        <v>1393</v>
      </c>
      <c r="B13" s="1">
        <v>720</v>
      </c>
      <c r="C13" s="1">
        <v>720</v>
      </c>
      <c r="D13" s="1">
        <v>720</v>
      </c>
      <c r="E13" s="1">
        <v>720</v>
      </c>
      <c r="F13" s="1">
        <v>720</v>
      </c>
      <c r="G13" s="1">
        <v>696</v>
      </c>
      <c r="H13" s="1">
        <v>744</v>
      </c>
      <c r="I13" s="1">
        <v>744</v>
      </c>
      <c r="J13" s="1">
        <v>744</v>
      </c>
      <c r="K13" s="1">
        <v>744</v>
      </c>
      <c r="L13" s="1">
        <v>744</v>
      </c>
      <c r="M13" s="1">
        <v>744</v>
      </c>
    </row>
    <row r="14" spans="1:13" x14ac:dyDescent="0.3">
      <c r="A14" s="1">
        <v>1394</v>
      </c>
      <c r="B14" s="1">
        <v>720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mergeCells count="12"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94D6-8055-41BE-9316-3E7BF2E43D22}">
  <dimension ref="A2:M8"/>
  <sheetViews>
    <sheetView workbookViewId="0">
      <selection activeCell="F22" sqref="F22"/>
    </sheetView>
  </sheetViews>
  <sheetFormatPr defaultRowHeight="14.4" x14ac:dyDescent="0.3"/>
  <cols>
    <col min="2" max="8" width="9" bestFit="1" customWidth="1"/>
    <col min="9" max="12" width="9.5546875" bestFit="1" customWidth="1"/>
    <col min="13" max="13" width="9" bestFit="1" customWidth="1"/>
  </cols>
  <sheetData>
    <row r="2" spans="1:13" x14ac:dyDescent="0.3">
      <c r="A2" t="s">
        <v>14</v>
      </c>
      <c r="B2">
        <v>963.43499999999995</v>
      </c>
      <c r="C2">
        <f>B2+B3+B4+B5</f>
        <v>1097.81</v>
      </c>
    </row>
    <row r="3" spans="1:13" x14ac:dyDescent="0.3">
      <c r="A3" t="s">
        <v>15</v>
      </c>
      <c r="B3">
        <v>20.245999999999999</v>
      </c>
    </row>
    <row r="4" spans="1:13" x14ac:dyDescent="0.3">
      <c r="A4" t="s">
        <v>16</v>
      </c>
      <c r="B4">
        <v>16.039000000000001</v>
      </c>
    </row>
    <row r="5" spans="1:13" x14ac:dyDescent="0.3">
      <c r="A5" t="s">
        <v>15</v>
      </c>
      <c r="B5">
        <v>98.09</v>
      </c>
    </row>
    <row r="6" spans="1:13" x14ac:dyDescent="0.3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</row>
    <row r="7" spans="1:13" x14ac:dyDescent="0.3">
      <c r="A7" s="3">
        <v>1384</v>
      </c>
      <c r="B7" s="3">
        <v>0.06</v>
      </c>
      <c r="C7" s="3">
        <v>0.04</v>
      </c>
      <c r="D7" s="3">
        <v>0.03</v>
      </c>
      <c r="E7" s="3">
        <v>0.04</v>
      </c>
      <c r="F7" s="3">
        <v>0.03</v>
      </c>
      <c r="G7" s="3">
        <v>0.06</v>
      </c>
      <c r="H7" s="3">
        <v>7.0000000000000007E-2</v>
      </c>
      <c r="I7" s="3">
        <v>0.1</v>
      </c>
      <c r="J7" s="3">
        <v>0.13</v>
      </c>
      <c r="K7" s="3">
        <v>0.17</v>
      </c>
      <c r="L7" s="3">
        <v>0.18</v>
      </c>
      <c r="M7" s="3">
        <v>0.09</v>
      </c>
    </row>
    <row r="8" spans="1:13" x14ac:dyDescent="0.3">
      <c r="B8" s="6">
        <f>B7*$C$2</f>
        <v>65.868600000000001</v>
      </c>
      <c r="C8" s="6">
        <f t="shared" ref="C8:M8" si="0">C7*$C$2</f>
        <v>43.912399999999998</v>
      </c>
      <c r="D8" s="6">
        <f t="shared" si="0"/>
        <v>32.9343</v>
      </c>
      <c r="E8" s="6">
        <f t="shared" si="0"/>
        <v>43.912399999999998</v>
      </c>
      <c r="F8" s="6">
        <f t="shared" si="0"/>
        <v>32.9343</v>
      </c>
      <c r="G8" s="6">
        <f t="shared" si="0"/>
        <v>65.868600000000001</v>
      </c>
      <c r="H8" s="6">
        <f t="shared" si="0"/>
        <v>76.846699999999998</v>
      </c>
      <c r="I8" s="6">
        <f t="shared" si="0"/>
        <v>109.78100000000001</v>
      </c>
      <c r="J8" s="6">
        <f t="shared" si="0"/>
        <v>142.71529999999998</v>
      </c>
      <c r="K8" s="6">
        <f t="shared" si="0"/>
        <v>186.6277</v>
      </c>
      <c r="L8" s="6">
        <f t="shared" si="0"/>
        <v>197.60579999999999</v>
      </c>
      <c r="M8" s="6">
        <f t="shared" si="0"/>
        <v>98.802899999999994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Qs</vt:lpstr>
      <vt:lpstr>prc</vt:lpstr>
      <vt:lpstr>ep</vt:lpstr>
      <vt:lpstr>eta</vt:lpstr>
      <vt:lpstr>hour</vt:lpstr>
      <vt:lpstr>Demand</vt:lpstr>
      <vt:lpstr>ep</vt:lpstr>
      <vt:lpstr>eta</vt:lpstr>
      <vt:lpstr>hour</vt:lpstr>
      <vt:lpstr>prc</vt:lpstr>
      <vt:lpstr>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2021-12-25T10:37:39Z</dcterms:modified>
</cp:coreProperties>
</file>