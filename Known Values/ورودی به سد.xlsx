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2307F8DC-D35F-4C67-88C1-DA6248351D68}" xr6:coauthVersionLast="43" xr6:coauthVersionMax="43" xr10:uidLastSave="{00000000-0000-0000-0000-000000000000}"/>
  <bookViews>
    <workbookView xWindow="-108" yWindow="-108" windowWidth="23256" windowHeight="12576" firstSheet="1" activeTab="7" xr2:uid="{00000000-000D-0000-FFFF-FFFF00000000}"/>
  </bookViews>
  <sheets>
    <sheet name="پل آدینان" sheetId="1" r:id="rId1"/>
    <sheet name="دره پنبه دان" sheetId="2" r:id="rId2"/>
    <sheet name="صفاخانه" sheetId="3" r:id="rId3"/>
    <sheet name="کریم آباد" sheetId="4" r:id="rId4"/>
    <sheet name="ورودی به سد (دبی)" sheetId="5" r:id="rId5"/>
    <sheet name="خروجی از سد (دبی)" sheetId="6" r:id="rId6"/>
    <sheet name="ورودی به سد (حجم)" sheetId="7" r:id="rId7"/>
    <sheet name="خروجی از سد (حجم)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29" i="8" l="1"/>
  <c r="M30" i="8"/>
  <c r="M31" i="8"/>
  <c r="L29" i="8"/>
  <c r="L30" i="8"/>
  <c r="L31" i="8"/>
  <c r="K29" i="8"/>
  <c r="K30" i="8"/>
  <c r="K31" i="8"/>
  <c r="J29" i="8"/>
  <c r="J30" i="8"/>
  <c r="J31" i="8"/>
  <c r="I29" i="8"/>
  <c r="I30" i="8"/>
  <c r="I31" i="8"/>
  <c r="H29" i="8"/>
  <c r="H30" i="8"/>
  <c r="H31" i="8"/>
  <c r="G29" i="8"/>
  <c r="G30" i="8"/>
  <c r="G31" i="8"/>
  <c r="F29" i="8"/>
  <c r="F30" i="8"/>
  <c r="F31" i="8"/>
  <c r="E29" i="8"/>
  <c r="E30" i="8"/>
  <c r="E31" i="8"/>
  <c r="D29" i="8"/>
  <c r="D30" i="8"/>
  <c r="D31" i="8"/>
  <c r="C29" i="8"/>
  <c r="C30" i="8"/>
  <c r="C31" i="8"/>
  <c r="B29" i="8"/>
  <c r="B30" i="8"/>
  <c r="B31" i="8"/>
  <c r="M29" i="7"/>
  <c r="M30" i="7"/>
  <c r="M31" i="7"/>
  <c r="L29" i="7"/>
  <c r="L30" i="7"/>
  <c r="L31" i="7"/>
  <c r="K29" i="7"/>
  <c r="K30" i="7"/>
  <c r="K31" i="7"/>
  <c r="J29" i="7"/>
  <c r="J30" i="7"/>
  <c r="J31" i="7"/>
  <c r="I29" i="7"/>
  <c r="I30" i="7"/>
  <c r="I31" i="7"/>
  <c r="H29" i="7"/>
  <c r="H30" i="7"/>
  <c r="H31" i="7"/>
  <c r="G29" i="7"/>
  <c r="G30" i="7"/>
  <c r="G31" i="7"/>
  <c r="F29" i="7"/>
  <c r="F30" i="7"/>
  <c r="F31" i="7"/>
  <c r="E29" i="7"/>
  <c r="E30" i="7"/>
  <c r="E31" i="7"/>
  <c r="D29" i="7"/>
  <c r="D30" i="7"/>
  <c r="D31" i="7"/>
  <c r="C29" i="7"/>
  <c r="C30" i="7"/>
  <c r="C31" i="7"/>
  <c r="B29" i="7"/>
  <c r="B30" i="7"/>
  <c r="B31" i="7"/>
  <c r="M27" i="5"/>
  <c r="M28" i="5"/>
  <c r="M29" i="5"/>
  <c r="L29" i="5"/>
  <c r="L27" i="5"/>
  <c r="L28" i="5"/>
  <c r="K27" i="5"/>
  <c r="K28" i="5"/>
  <c r="K29" i="5"/>
  <c r="J27" i="5"/>
  <c r="J28" i="5"/>
  <c r="J29" i="5"/>
  <c r="I27" i="5"/>
  <c r="I28" i="5"/>
  <c r="I29" i="5"/>
  <c r="H27" i="5"/>
  <c r="H28" i="5"/>
  <c r="H29" i="5"/>
  <c r="G27" i="5"/>
  <c r="G28" i="5"/>
  <c r="G29" i="5"/>
  <c r="F27" i="5"/>
  <c r="F28" i="5"/>
  <c r="F29" i="5"/>
  <c r="E27" i="5"/>
  <c r="E28" i="5"/>
  <c r="E29" i="5"/>
  <c r="D27" i="5"/>
  <c r="D28" i="5"/>
  <c r="D29" i="5"/>
  <c r="C27" i="5"/>
  <c r="C28" i="5"/>
  <c r="C29" i="5"/>
  <c r="B27" i="5"/>
  <c r="B28" i="5"/>
  <c r="B29" i="5"/>
  <c r="M5" i="8" l="1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C4" i="8"/>
  <c r="D4" i="8"/>
  <c r="E4" i="8"/>
  <c r="F4" i="8"/>
  <c r="G4" i="8"/>
  <c r="H4" i="8"/>
  <c r="I4" i="8"/>
  <c r="J4" i="8"/>
  <c r="K4" i="8"/>
  <c r="L4" i="8"/>
  <c r="M4" i="8"/>
  <c r="B4" i="8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C4" i="7"/>
  <c r="D4" i="7"/>
  <c r="E4" i="7"/>
  <c r="F4" i="7"/>
  <c r="G4" i="7"/>
  <c r="H4" i="7"/>
  <c r="I4" i="7"/>
  <c r="J4" i="7"/>
  <c r="K4" i="7"/>
  <c r="L4" i="7"/>
  <c r="M4" i="7"/>
  <c r="B4" i="7"/>
  <c r="L26" i="5" l="1"/>
  <c r="K26" i="5"/>
  <c r="J26" i="5"/>
  <c r="I26" i="5"/>
  <c r="H26" i="5"/>
  <c r="G26" i="5"/>
  <c r="F26" i="5"/>
  <c r="E26" i="5"/>
  <c r="D26" i="5"/>
  <c r="C26" i="5"/>
  <c r="B26" i="5"/>
  <c r="L25" i="5"/>
  <c r="K25" i="5"/>
  <c r="J25" i="5"/>
  <c r="I25" i="5"/>
  <c r="H25" i="5"/>
  <c r="G25" i="5"/>
  <c r="F25" i="5"/>
  <c r="E25" i="5"/>
  <c r="D25" i="5"/>
  <c r="C25" i="5"/>
  <c r="B25" i="5"/>
  <c r="L24" i="5"/>
  <c r="K24" i="5"/>
  <c r="J24" i="5"/>
  <c r="I24" i="5"/>
  <c r="H24" i="5"/>
  <c r="G24" i="5"/>
  <c r="F24" i="5"/>
  <c r="E24" i="5"/>
  <c r="D24" i="5"/>
  <c r="C24" i="5"/>
  <c r="B24" i="5"/>
  <c r="L23" i="5"/>
  <c r="K23" i="5"/>
  <c r="J23" i="5"/>
  <c r="I23" i="5"/>
  <c r="H23" i="5"/>
  <c r="G23" i="5"/>
  <c r="F23" i="5"/>
  <c r="E23" i="5"/>
  <c r="D23" i="5"/>
  <c r="C23" i="5"/>
  <c r="B23" i="5"/>
  <c r="L22" i="5"/>
  <c r="K22" i="5"/>
  <c r="J22" i="5"/>
  <c r="I22" i="5"/>
  <c r="H22" i="5"/>
  <c r="G22" i="5"/>
  <c r="F22" i="5"/>
  <c r="E22" i="5"/>
  <c r="D22" i="5"/>
  <c r="C22" i="5"/>
  <c r="B22" i="5"/>
  <c r="L21" i="5"/>
  <c r="K21" i="5"/>
  <c r="J21" i="5"/>
  <c r="I21" i="5"/>
  <c r="H21" i="5"/>
  <c r="G21" i="5"/>
  <c r="F21" i="5"/>
  <c r="E21" i="5"/>
  <c r="D21" i="5"/>
  <c r="C21" i="5"/>
  <c r="B21" i="5"/>
  <c r="L20" i="5"/>
  <c r="K20" i="5"/>
  <c r="J20" i="5"/>
  <c r="I20" i="5"/>
  <c r="H20" i="5"/>
  <c r="G20" i="5"/>
  <c r="F20" i="5"/>
  <c r="E20" i="5"/>
  <c r="D20" i="5"/>
  <c r="C20" i="5"/>
  <c r="B20" i="5"/>
  <c r="L19" i="5"/>
  <c r="K19" i="5"/>
  <c r="J19" i="5"/>
  <c r="I19" i="5"/>
  <c r="H19" i="5"/>
  <c r="G19" i="5"/>
  <c r="F19" i="5"/>
  <c r="E19" i="5"/>
  <c r="D19" i="5"/>
  <c r="C19" i="5"/>
  <c r="B19" i="5"/>
  <c r="L18" i="5"/>
  <c r="K18" i="5"/>
  <c r="J18" i="5"/>
  <c r="I18" i="5"/>
  <c r="H18" i="5"/>
  <c r="G18" i="5"/>
  <c r="F18" i="5"/>
  <c r="E18" i="5"/>
  <c r="D18" i="5"/>
  <c r="C18" i="5"/>
  <c r="B18" i="5"/>
  <c r="L17" i="5"/>
  <c r="K17" i="5"/>
  <c r="J17" i="5"/>
  <c r="I17" i="5"/>
  <c r="H17" i="5"/>
  <c r="G17" i="5"/>
  <c r="F17" i="5"/>
  <c r="E17" i="5"/>
  <c r="D17" i="5"/>
  <c r="C17" i="5"/>
  <c r="B17" i="5"/>
  <c r="L16" i="5"/>
  <c r="K16" i="5"/>
  <c r="J16" i="5"/>
  <c r="I16" i="5"/>
  <c r="H16" i="5"/>
  <c r="G16" i="5"/>
  <c r="F16" i="5"/>
  <c r="E16" i="5"/>
  <c r="D16" i="5"/>
  <c r="C16" i="5"/>
  <c r="B16" i="5"/>
  <c r="L15" i="5"/>
  <c r="K15" i="5"/>
  <c r="J15" i="5"/>
  <c r="I15" i="5"/>
  <c r="H15" i="5"/>
  <c r="G15" i="5"/>
  <c r="F15" i="5"/>
  <c r="E15" i="5"/>
  <c r="D15" i="5"/>
  <c r="C15" i="5"/>
  <c r="B15" i="5"/>
  <c r="B14" i="5"/>
  <c r="L14" i="5"/>
  <c r="K14" i="5"/>
  <c r="J14" i="5"/>
  <c r="I14" i="5"/>
  <c r="H14" i="5"/>
  <c r="G14" i="5"/>
  <c r="F14" i="5"/>
  <c r="E14" i="5"/>
  <c r="D14" i="5"/>
  <c r="C14" i="5"/>
  <c r="L13" i="5"/>
  <c r="K13" i="5"/>
  <c r="J13" i="5"/>
  <c r="I13" i="5"/>
  <c r="H13" i="5"/>
  <c r="G13" i="5"/>
  <c r="F13" i="5"/>
  <c r="E13" i="5"/>
  <c r="D13" i="5"/>
  <c r="C13" i="5"/>
  <c r="B13" i="5"/>
  <c r="L12" i="5"/>
  <c r="K12" i="5"/>
  <c r="J12" i="5"/>
  <c r="I12" i="5"/>
  <c r="H12" i="5"/>
  <c r="G12" i="5"/>
  <c r="F12" i="5"/>
  <c r="E12" i="5"/>
  <c r="D12" i="5"/>
  <c r="C12" i="5"/>
  <c r="B12" i="5"/>
  <c r="L11" i="5"/>
  <c r="K11" i="5"/>
  <c r="J11" i="5"/>
  <c r="I11" i="5"/>
  <c r="H11" i="5"/>
  <c r="G11" i="5"/>
  <c r="F11" i="5"/>
  <c r="E11" i="5"/>
  <c r="D11" i="5"/>
  <c r="C11" i="5"/>
  <c r="B11" i="5"/>
  <c r="L10" i="5"/>
  <c r="K10" i="5"/>
  <c r="J10" i="5"/>
  <c r="I10" i="5"/>
  <c r="H10" i="5"/>
  <c r="G10" i="5"/>
  <c r="F10" i="5"/>
  <c r="E10" i="5"/>
  <c r="D10" i="5"/>
  <c r="C10" i="5"/>
  <c r="B10" i="5"/>
  <c r="L9" i="5"/>
  <c r="K9" i="5"/>
  <c r="J9" i="5"/>
  <c r="I9" i="5"/>
  <c r="H9" i="5"/>
  <c r="G9" i="5"/>
  <c r="F9" i="5"/>
  <c r="E9" i="5"/>
  <c r="D9" i="5"/>
  <c r="C9" i="5"/>
  <c r="B9" i="5"/>
  <c r="L8" i="5"/>
  <c r="K8" i="5"/>
  <c r="J8" i="5"/>
  <c r="I8" i="5"/>
  <c r="H8" i="5"/>
  <c r="G8" i="5"/>
  <c r="F8" i="5"/>
  <c r="E8" i="5"/>
  <c r="D8" i="5"/>
  <c r="C8" i="5"/>
  <c r="B8" i="5"/>
  <c r="L7" i="5"/>
  <c r="K7" i="5"/>
  <c r="J7" i="5"/>
  <c r="I7" i="5"/>
  <c r="H7" i="5"/>
  <c r="G7" i="5"/>
  <c r="F7" i="5"/>
  <c r="E7" i="5"/>
  <c r="D7" i="5"/>
  <c r="C7" i="5"/>
  <c r="B7" i="5"/>
  <c r="L6" i="5"/>
  <c r="K6" i="5"/>
  <c r="J6" i="5"/>
  <c r="I6" i="5"/>
  <c r="H6" i="5"/>
  <c r="G6" i="5"/>
  <c r="F6" i="5"/>
  <c r="E6" i="5"/>
  <c r="D6" i="5"/>
  <c r="C6" i="5"/>
  <c r="B6" i="5"/>
  <c r="L5" i="5"/>
  <c r="K5" i="5"/>
  <c r="J5" i="5"/>
  <c r="I5" i="5"/>
  <c r="H5" i="5"/>
  <c r="G5" i="5"/>
  <c r="F5" i="5"/>
  <c r="E5" i="5"/>
  <c r="D5" i="5"/>
  <c r="C5" i="5"/>
  <c r="B5" i="5"/>
  <c r="L4" i="5"/>
  <c r="K4" i="5"/>
  <c r="J4" i="5"/>
  <c r="I4" i="5"/>
  <c r="H4" i="5"/>
  <c r="G4" i="5"/>
  <c r="F4" i="5"/>
  <c r="E4" i="5"/>
  <c r="D4" i="5"/>
  <c r="C4" i="5"/>
  <c r="B4" i="5"/>
  <c r="L3" i="5"/>
  <c r="K3" i="5"/>
  <c r="J3" i="5"/>
  <c r="I3" i="5"/>
  <c r="H3" i="5"/>
  <c r="G3" i="5"/>
  <c r="F3" i="5"/>
  <c r="E3" i="5"/>
  <c r="D3" i="5"/>
  <c r="C3" i="5"/>
  <c r="B3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L2" i="5"/>
  <c r="K2" i="5"/>
  <c r="J2" i="5"/>
  <c r="I2" i="5"/>
  <c r="H2" i="5"/>
  <c r="G2" i="5"/>
  <c r="F2" i="5"/>
  <c r="E2" i="5"/>
  <c r="D2" i="5"/>
  <c r="C2" i="5"/>
  <c r="B2" i="5"/>
  <c r="M2" i="5"/>
</calcChain>
</file>

<file path=xl/sharedStrings.xml><?xml version="1.0" encoding="utf-8"?>
<sst xmlns="http://schemas.openxmlformats.org/spreadsheetml/2006/main" count="106" uniqueCount="14">
  <si>
    <t>شهریور</t>
  </si>
  <si>
    <t>مرداد</t>
  </si>
  <si>
    <t>تیر</t>
  </si>
  <si>
    <t>خرداد</t>
  </si>
  <si>
    <t>اردیبهشت</t>
  </si>
  <si>
    <t>فروردین</t>
  </si>
  <si>
    <t>اسفند</t>
  </si>
  <si>
    <t>بهمن</t>
  </si>
  <si>
    <t>دی</t>
  </si>
  <si>
    <t>آذر</t>
  </si>
  <si>
    <t>آبان</t>
  </si>
  <si>
    <t>مهر</t>
  </si>
  <si>
    <t>سال</t>
  </si>
  <si>
    <t>روز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</si>
</sst>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opLeftCell="A7" workbookViewId="0">
      <selection activeCell="E31" sqref="E31"/>
    </sheetView>
  </sheetViews>
  <sheetFormatPr defaultRowHeight="14.4" x14ac:dyDescent="0.3"/>
  <cols>
    <col min="1" max="1" width="9.5546875" bestFit="1" customWidth="1"/>
  </cols>
  <sheetData>
    <row r="1" spans="1:13" x14ac:dyDescent="0.3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s="3">
        <v>1366</v>
      </c>
      <c r="B2" s="2">
        <v>0.30299999999999999</v>
      </c>
      <c r="C2" s="2">
        <v>0.44700000000000001</v>
      </c>
      <c r="D2" s="2">
        <v>2.6259999999999999</v>
      </c>
      <c r="E2" s="2">
        <v>22.225000000000001</v>
      </c>
      <c r="F2" s="2">
        <v>105.72</v>
      </c>
      <c r="G2" s="2">
        <v>140.262</v>
      </c>
      <c r="H2" s="2">
        <v>131.41200000000001</v>
      </c>
      <c r="I2" s="2">
        <v>20.712</v>
      </c>
      <c r="J2" s="2">
        <v>24.922000000000001</v>
      </c>
      <c r="K2" s="2">
        <v>10.013999999999999</v>
      </c>
      <c r="L2" s="2">
        <v>11.340999999999999</v>
      </c>
      <c r="M2" s="2">
        <v>0.71399999999999997</v>
      </c>
    </row>
    <row r="3" spans="1:13" x14ac:dyDescent="0.3">
      <c r="A3" s="3">
        <v>1367</v>
      </c>
      <c r="B3" s="2">
        <v>3.1E-2</v>
      </c>
      <c r="C3" s="2">
        <v>0.24299999999999999</v>
      </c>
      <c r="D3" s="2">
        <v>0.28499999999999998</v>
      </c>
      <c r="E3" s="2">
        <v>2.7029999999999998</v>
      </c>
      <c r="F3" s="2">
        <v>18.503</v>
      </c>
      <c r="G3" s="2">
        <v>50.167000000000002</v>
      </c>
      <c r="H3" s="2">
        <v>46.832999999999998</v>
      </c>
      <c r="I3" s="2">
        <v>3.355</v>
      </c>
      <c r="J3" s="2">
        <v>8.5180000000000007</v>
      </c>
      <c r="K3" s="2">
        <v>5.5880000000000001</v>
      </c>
      <c r="L3" s="2">
        <v>4.3819999999999997</v>
      </c>
      <c r="M3" s="2">
        <v>0.72199999999999998</v>
      </c>
    </row>
    <row r="4" spans="1:13" x14ac:dyDescent="0.3">
      <c r="A4" s="3">
        <v>1368</v>
      </c>
      <c r="B4" s="2">
        <v>1.079</v>
      </c>
      <c r="C4" s="2">
        <v>0.83699999999999997</v>
      </c>
      <c r="D4" s="2">
        <v>1.089</v>
      </c>
      <c r="E4" s="2">
        <v>6.6210000000000004</v>
      </c>
      <c r="F4" s="2">
        <v>35.938000000000002</v>
      </c>
      <c r="G4" s="2">
        <v>62.978000000000002</v>
      </c>
      <c r="H4" s="2">
        <v>46.588999999999999</v>
      </c>
      <c r="I4" s="2">
        <v>7.29</v>
      </c>
      <c r="J4" s="2">
        <v>5.0529999999999999</v>
      </c>
      <c r="K4" s="2">
        <v>9.548</v>
      </c>
      <c r="L4" s="2">
        <v>5.6079999999999997</v>
      </c>
      <c r="M4" s="2">
        <v>0</v>
      </c>
    </row>
    <row r="5" spans="1:13" x14ac:dyDescent="0.3">
      <c r="A5" s="3">
        <v>1369</v>
      </c>
      <c r="B5" s="2">
        <v>0.08</v>
      </c>
      <c r="C5" s="2">
        <v>0.23400000000000001</v>
      </c>
      <c r="D5" s="2">
        <v>0.71199999999999997</v>
      </c>
      <c r="E5" s="2">
        <v>2.3170000000000002</v>
      </c>
      <c r="F5" s="2">
        <v>18.84</v>
      </c>
      <c r="G5" s="2">
        <v>81.298000000000002</v>
      </c>
      <c r="H5" s="2">
        <v>29.23</v>
      </c>
      <c r="I5" s="2">
        <v>4.673</v>
      </c>
      <c r="J5" s="2">
        <v>2.0059999999999998</v>
      </c>
      <c r="K5" s="2">
        <v>1.6339999999999999</v>
      </c>
      <c r="L5" s="2">
        <v>1.74</v>
      </c>
      <c r="M5" s="2">
        <v>0.81899999999999995</v>
      </c>
    </row>
    <row r="6" spans="1:13" x14ac:dyDescent="0.3">
      <c r="A6" s="3">
        <v>1370</v>
      </c>
      <c r="B6" s="2">
        <v>0.749</v>
      </c>
      <c r="C6" s="2">
        <v>1.9159999999999999</v>
      </c>
      <c r="D6" s="2">
        <v>6.0890000000000004</v>
      </c>
      <c r="E6" s="2">
        <v>62.084000000000003</v>
      </c>
      <c r="F6" s="2">
        <v>145.21799999999999</v>
      </c>
      <c r="G6" s="2">
        <v>98.885999999999996</v>
      </c>
      <c r="H6" s="2">
        <v>18.97</v>
      </c>
      <c r="I6" s="2">
        <v>8.8670000000000009</v>
      </c>
      <c r="J6" s="2">
        <v>9.24</v>
      </c>
      <c r="K6" s="2">
        <v>19.204999999999998</v>
      </c>
      <c r="L6" s="2">
        <v>2.6160000000000001</v>
      </c>
      <c r="M6" s="2">
        <v>1.29</v>
      </c>
    </row>
    <row r="7" spans="1:13" x14ac:dyDescent="0.3">
      <c r="A7" s="3">
        <v>1371</v>
      </c>
      <c r="B7" s="2">
        <v>0.53900000000000003</v>
      </c>
      <c r="C7" s="2">
        <v>0.73799999999999999</v>
      </c>
      <c r="D7" s="2">
        <v>1.974</v>
      </c>
      <c r="E7" s="2">
        <v>11.036</v>
      </c>
      <c r="F7" s="2">
        <v>45.305</v>
      </c>
      <c r="G7" s="2">
        <v>70.206000000000003</v>
      </c>
      <c r="H7" s="2">
        <v>36.341000000000001</v>
      </c>
      <c r="I7" s="2">
        <v>5.5990000000000002</v>
      </c>
      <c r="J7" s="2">
        <v>11.788</v>
      </c>
      <c r="K7" s="2">
        <v>10.515000000000001</v>
      </c>
      <c r="L7" s="2">
        <v>2.9049999999999998</v>
      </c>
      <c r="M7" s="2">
        <v>0.81599999999999995</v>
      </c>
    </row>
    <row r="8" spans="1:13" x14ac:dyDescent="0.3">
      <c r="A8" s="3">
        <v>1372</v>
      </c>
      <c r="B8" s="2">
        <v>0.108</v>
      </c>
      <c r="C8" s="2">
        <v>0.70199999999999996</v>
      </c>
      <c r="D8" s="2">
        <v>2.6269999999999998</v>
      </c>
      <c r="E8" s="2">
        <v>11.794</v>
      </c>
      <c r="F8" s="2">
        <v>43.491999999999997</v>
      </c>
      <c r="G8" s="2">
        <v>71.832999999999998</v>
      </c>
      <c r="H8" s="2">
        <v>48.002000000000002</v>
      </c>
      <c r="I8" s="2">
        <v>29.527000000000001</v>
      </c>
      <c r="J8" s="2">
        <v>43.037999999999997</v>
      </c>
      <c r="K8" s="2">
        <v>36.512999999999998</v>
      </c>
      <c r="L8" s="2">
        <v>28.18</v>
      </c>
      <c r="M8" s="2">
        <v>0.7</v>
      </c>
    </row>
    <row r="9" spans="1:13" x14ac:dyDescent="0.3">
      <c r="A9" s="3">
        <v>1373</v>
      </c>
      <c r="B9" s="2">
        <v>0.10100000000000001</v>
      </c>
      <c r="C9" s="2">
        <v>0.61899999999999999</v>
      </c>
      <c r="D9" s="2">
        <v>3.3180000000000001</v>
      </c>
      <c r="E9" s="2">
        <v>10.468999999999999</v>
      </c>
      <c r="F9" s="2">
        <v>38.186999999999998</v>
      </c>
      <c r="G9" s="2">
        <v>53.237000000000002</v>
      </c>
      <c r="H9" s="2">
        <v>23.434999999999999</v>
      </c>
      <c r="I9" s="2">
        <v>24.498999999999999</v>
      </c>
      <c r="J9" s="2">
        <v>28.138000000000002</v>
      </c>
      <c r="K9" s="2">
        <v>27.648</v>
      </c>
      <c r="L9" s="2">
        <v>13.367000000000001</v>
      </c>
      <c r="M9" s="2">
        <v>0.45200000000000001</v>
      </c>
    </row>
    <row r="10" spans="1:13" x14ac:dyDescent="0.3">
      <c r="A10" s="3">
        <v>1374</v>
      </c>
      <c r="B10" s="2">
        <v>0.18099999999999999</v>
      </c>
      <c r="C10" s="2">
        <v>0.42899999999999999</v>
      </c>
      <c r="D10" s="2">
        <v>1.798</v>
      </c>
      <c r="E10" s="2">
        <v>7.202</v>
      </c>
      <c r="F10" s="2">
        <v>28.79</v>
      </c>
      <c r="G10" s="2">
        <v>45.676000000000002</v>
      </c>
      <c r="H10" s="2">
        <v>10.567</v>
      </c>
      <c r="I10" s="2">
        <v>10.667</v>
      </c>
      <c r="J10" s="2">
        <v>2.4900000000000002</v>
      </c>
      <c r="K10" s="2">
        <v>0.55900000000000005</v>
      </c>
      <c r="L10" s="2">
        <v>0.25900000000000001</v>
      </c>
      <c r="M10" s="2">
        <v>0.182</v>
      </c>
    </row>
    <row r="11" spans="1:13" x14ac:dyDescent="0.3">
      <c r="A11" s="3">
        <v>1375</v>
      </c>
      <c r="B11" s="2">
        <v>0.114</v>
      </c>
      <c r="C11" s="2">
        <v>0.40699999999999997</v>
      </c>
      <c r="D11" s="2">
        <v>0.503</v>
      </c>
      <c r="E11" s="2">
        <v>4.03</v>
      </c>
      <c r="F11" s="2">
        <v>34.116</v>
      </c>
      <c r="G11" s="2">
        <v>38.481000000000002</v>
      </c>
      <c r="H11" s="2">
        <v>6.6529999999999996</v>
      </c>
      <c r="I11" s="2">
        <v>2.387</v>
      </c>
      <c r="J11" s="2">
        <v>2.694</v>
      </c>
      <c r="K11" s="2">
        <v>1.4650000000000001</v>
      </c>
      <c r="L11" s="2">
        <v>0.63700000000000001</v>
      </c>
      <c r="M11" s="2">
        <v>0.20699999999999999</v>
      </c>
    </row>
    <row r="12" spans="1:13" x14ac:dyDescent="0.3">
      <c r="A12" s="3">
        <v>1376</v>
      </c>
      <c r="B12" s="2">
        <v>9.0999999999999998E-2</v>
      </c>
      <c r="C12" s="2">
        <v>0.36099999999999999</v>
      </c>
      <c r="D12" s="2">
        <v>1.298</v>
      </c>
      <c r="E12" s="2">
        <v>2.36</v>
      </c>
      <c r="F12" s="2">
        <v>21.794</v>
      </c>
      <c r="G12" s="2">
        <v>107.779</v>
      </c>
      <c r="H12" s="2">
        <v>36.167999999999999</v>
      </c>
      <c r="I12" s="2">
        <v>15.039</v>
      </c>
      <c r="J12" s="2">
        <v>3.2719999999999998</v>
      </c>
      <c r="K12" s="2">
        <v>2.2919999999999998</v>
      </c>
      <c r="L12" s="2">
        <v>3.714</v>
      </c>
      <c r="M12" s="2">
        <v>0.72899999999999998</v>
      </c>
    </row>
    <row r="13" spans="1:13" x14ac:dyDescent="0.3">
      <c r="A13" s="3">
        <v>1377</v>
      </c>
      <c r="B13" s="2">
        <v>0</v>
      </c>
      <c r="C13" s="2">
        <v>2.1000000000000001E-2</v>
      </c>
      <c r="D13" s="2">
        <v>7.6999999999999999E-2</v>
      </c>
      <c r="E13" s="2">
        <v>0.44800000000000001</v>
      </c>
      <c r="F13" s="2">
        <v>4.117</v>
      </c>
      <c r="G13" s="2">
        <v>15.331</v>
      </c>
      <c r="H13" s="2">
        <v>8.7430000000000003</v>
      </c>
      <c r="I13" s="2">
        <v>9.375</v>
      </c>
      <c r="J13" s="2">
        <v>1.8129999999999999</v>
      </c>
      <c r="K13" s="2">
        <v>1.6319999999999999</v>
      </c>
      <c r="L13" s="2">
        <v>0.85199999999999998</v>
      </c>
      <c r="M13" s="2">
        <v>0.55400000000000005</v>
      </c>
    </row>
    <row r="14" spans="1:13" x14ac:dyDescent="0.3">
      <c r="A14" s="3">
        <v>1378</v>
      </c>
      <c r="B14" s="2">
        <v>0</v>
      </c>
      <c r="C14" s="2">
        <v>6.0999999999999999E-2</v>
      </c>
      <c r="D14" s="2">
        <v>0.30099999999999999</v>
      </c>
      <c r="E14" s="2">
        <v>2.0409999999999999</v>
      </c>
      <c r="F14" s="2">
        <v>12.21</v>
      </c>
      <c r="G14" s="2">
        <v>47.136000000000003</v>
      </c>
      <c r="H14" s="2">
        <v>18.721</v>
      </c>
      <c r="I14" s="2">
        <v>3.5590000000000002</v>
      </c>
      <c r="J14" s="2">
        <v>3.0830000000000002</v>
      </c>
      <c r="K14" s="2">
        <v>2.121</v>
      </c>
      <c r="L14" s="2">
        <v>0</v>
      </c>
      <c r="M14" s="2">
        <v>0</v>
      </c>
    </row>
    <row r="15" spans="1:13" x14ac:dyDescent="0.3">
      <c r="A15" s="3">
        <v>1379</v>
      </c>
      <c r="B15" s="2">
        <v>0</v>
      </c>
      <c r="C15" s="2">
        <v>0</v>
      </c>
      <c r="D15" s="2">
        <v>9.2999999999999999E-2</v>
      </c>
      <c r="E15" s="2">
        <v>0.877</v>
      </c>
      <c r="F15" s="2">
        <v>7.3049999999999997</v>
      </c>
      <c r="G15" s="2">
        <v>29.527999999999999</v>
      </c>
      <c r="H15" s="2">
        <v>26.283000000000001</v>
      </c>
      <c r="I15" s="2">
        <v>6.3789999999999996</v>
      </c>
      <c r="J15" s="2">
        <v>3.2829999999999999</v>
      </c>
      <c r="K15" s="2">
        <v>1.052</v>
      </c>
      <c r="L15" s="2">
        <v>0</v>
      </c>
      <c r="M15" s="2">
        <v>0</v>
      </c>
    </row>
    <row r="16" spans="1:13" x14ac:dyDescent="0.3">
      <c r="A16" s="3">
        <v>1380</v>
      </c>
      <c r="B16" s="2">
        <v>2.9000000000000001E-2</v>
      </c>
      <c r="C16" s="2">
        <v>7.0000000000000007E-2</v>
      </c>
      <c r="D16" s="2">
        <v>0.73</v>
      </c>
      <c r="E16" s="2">
        <v>4.7709999999999999</v>
      </c>
      <c r="F16" s="2">
        <v>30.344999999999999</v>
      </c>
      <c r="G16" s="2">
        <v>70.734999999999999</v>
      </c>
      <c r="H16" s="2">
        <v>33.281999999999996</v>
      </c>
      <c r="I16" s="2">
        <v>23.221</v>
      </c>
      <c r="J16" s="2">
        <v>40.503999999999998</v>
      </c>
      <c r="K16" s="2">
        <v>11.762</v>
      </c>
      <c r="L16" s="2">
        <v>0.151</v>
      </c>
      <c r="M16" s="2">
        <v>0</v>
      </c>
    </row>
    <row r="17" spans="1:13" x14ac:dyDescent="0.3">
      <c r="A17" s="3">
        <v>1381</v>
      </c>
      <c r="B17" s="2">
        <v>0.35499999999999998</v>
      </c>
      <c r="C17" s="2">
        <v>0.54800000000000004</v>
      </c>
      <c r="D17" s="2">
        <v>3.2160000000000002</v>
      </c>
      <c r="E17" s="2">
        <v>24.152000000000001</v>
      </c>
      <c r="F17" s="2">
        <v>88.887</v>
      </c>
      <c r="G17" s="2">
        <v>150.66800000000001</v>
      </c>
      <c r="H17" s="2">
        <v>69.048000000000002</v>
      </c>
      <c r="I17" s="2">
        <v>21.422999999999998</v>
      </c>
      <c r="J17" s="2">
        <v>20.149999999999999</v>
      </c>
      <c r="K17" s="2">
        <v>14.097</v>
      </c>
      <c r="L17" s="2">
        <v>2.04</v>
      </c>
      <c r="M17" s="2">
        <v>0.92700000000000005</v>
      </c>
    </row>
    <row r="18" spans="1:13" x14ac:dyDescent="0.3">
      <c r="A18" s="3">
        <v>1382</v>
      </c>
      <c r="B18" s="2">
        <v>9.4E-2</v>
      </c>
      <c r="C18" s="2">
        <v>0.61599999999999999</v>
      </c>
      <c r="D18" s="2">
        <v>2.1579999999999999</v>
      </c>
      <c r="E18" s="2">
        <v>15.106999999999999</v>
      </c>
      <c r="F18" s="2">
        <v>50.354999999999997</v>
      </c>
      <c r="G18" s="2">
        <v>49.067999999999998</v>
      </c>
      <c r="H18" s="2">
        <v>73.754999999999995</v>
      </c>
      <c r="I18" s="2">
        <v>36.113</v>
      </c>
      <c r="J18" s="2">
        <v>22.227</v>
      </c>
      <c r="K18" s="2">
        <v>8.7530000000000001</v>
      </c>
      <c r="L18" s="2">
        <v>4.6130000000000004</v>
      </c>
      <c r="M18" s="2">
        <v>0.217</v>
      </c>
    </row>
    <row r="19" spans="1:13" x14ac:dyDescent="0.3">
      <c r="A19" s="3">
        <v>1383</v>
      </c>
      <c r="B19" s="2">
        <v>0.09</v>
      </c>
      <c r="C19" s="2">
        <v>0.152</v>
      </c>
      <c r="D19" s="2">
        <v>1.161</v>
      </c>
      <c r="E19" s="2">
        <v>4.548</v>
      </c>
      <c r="F19" s="2">
        <v>40.758000000000003</v>
      </c>
      <c r="G19" s="2">
        <v>88.802999999999997</v>
      </c>
      <c r="H19" s="2">
        <v>141.29</v>
      </c>
      <c r="I19" s="2">
        <v>20.733000000000001</v>
      </c>
      <c r="J19" s="2">
        <v>7.4870000000000001</v>
      </c>
      <c r="K19" s="2">
        <v>16.952999999999999</v>
      </c>
      <c r="L19" s="2">
        <v>16.809999999999999</v>
      </c>
      <c r="M19" s="2">
        <v>0.433</v>
      </c>
    </row>
    <row r="20" spans="1:13" x14ac:dyDescent="0.3">
      <c r="A20" s="3">
        <v>1384</v>
      </c>
      <c r="B20" s="2">
        <v>7.3999999999999996E-2</v>
      </c>
      <c r="C20" s="2">
        <v>0.30199999999999999</v>
      </c>
      <c r="D20" s="2">
        <v>1.4059999999999999</v>
      </c>
      <c r="E20" s="2">
        <v>5.2130000000000001</v>
      </c>
      <c r="F20" s="2">
        <v>30.224</v>
      </c>
      <c r="G20" s="2">
        <v>48.012999999999998</v>
      </c>
      <c r="H20" s="2">
        <v>54.59</v>
      </c>
      <c r="I20" s="2">
        <v>73.432000000000002</v>
      </c>
      <c r="J20" s="2">
        <v>3.4809999999999999</v>
      </c>
      <c r="K20" s="2">
        <v>0.70899999999999996</v>
      </c>
      <c r="L20" s="2">
        <v>0.45800000000000002</v>
      </c>
      <c r="M20" s="2">
        <v>6.5000000000000002E-2</v>
      </c>
    </row>
    <row r="21" spans="1:13" x14ac:dyDescent="0.3">
      <c r="A21" s="3">
        <v>1385</v>
      </c>
      <c r="B21" s="2">
        <v>4.9000000000000002E-2</v>
      </c>
      <c r="C21" s="2">
        <v>0.27400000000000002</v>
      </c>
      <c r="D21" s="2">
        <v>1.353</v>
      </c>
      <c r="E21" s="2">
        <v>7.2679999999999998</v>
      </c>
      <c r="F21" s="2">
        <v>44.09</v>
      </c>
      <c r="G21" s="2">
        <v>70.745000000000005</v>
      </c>
      <c r="H21" s="2">
        <v>27.341000000000001</v>
      </c>
      <c r="I21" s="2">
        <v>12.717000000000001</v>
      </c>
      <c r="J21" s="2">
        <v>3.677</v>
      </c>
      <c r="K21" s="2">
        <v>3.952</v>
      </c>
      <c r="L21" s="2">
        <v>10.007</v>
      </c>
      <c r="M21" s="2">
        <v>7.0000000000000007E-2</v>
      </c>
    </row>
    <row r="22" spans="1:13" x14ac:dyDescent="0.3">
      <c r="A22" s="3">
        <v>1386</v>
      </c>
      <c r="B22" s="2">
        <v>0</v>
      </c>
      <c r="C22" s="2">
        <v>0</v>
      </c>
      <c r="D22" s="2">
        <v>0</v>
      </c>
      <c r="E22" s="2">
        <v>0.88900000000000001</v>
      </c>
      <c r="F22" s="2">
        <v>5.625</v>
      </c>
      <c r="G22" s="2">
        <v>35.470999999999997</v>
      </c>
      <c r="H22" s="2">
        <v>42.378999999999998</v>
      </c>
      <c r="I22" s="2">
        <v>3.76</v>
      </c>
      <c r="J22" s="2">
        <v>1.8720000000000001</v>
      </c>
      <c r="K22" s="2">
        <v>3.4060000000000001</v>
      </c>
      <c r="L22" s="2">
        <v>0.23</v>
      </c>
      <c r="M22" s="2">
        <v>0</v>
      </c>
    </row>
    <row r="23" spans="1:13" x14ac:dyDescent="0.3">
      <c r="A23" s="3">
        <v>1387</v>
      </c>
      <c r="B23" s="2">
        <v>0</v>
      </c>
      <c r="C23" s="2">
        <v>0</v>
      </c>
      <c r="D23" s="2">
        <v>0.65200000000000002</v>
      </c>
      <c r="E23" s="2">
        <v>5.0069999999999997</v>
      </c>
      <c r="F23" s="2">
        <v>46.841000000000001</v>
      </c>
      <c r="G23" s="2">
        <v>45.033000000000001</v>
      </c>
      <c r="H23" s="2">
        <v>23.015000000000001</v>
      </c>
      <c r="I23" s="2">
        <v>4.3380000000000001</v>
      </c>
      <c r="J23" s="2">
        <v>1.385</v>
      </c>
      <c r="K23" s="2">
        <v>1.0309999999999999</v>
      </c>
      <c r="L23" s="2">
        <v>0.34699999999999998</v>
      </c>
      <c r="M23" s="2">
        <v>0</v>
      </c>
    </row>
    <row r="24" spans="1:13" x14ac:dyDescent="0.3">
      <c r="A24" s="3">
        <v>1388</v>
      </c>
      <c r="B24" s="2">
        <v>0</v>
      </c>
      <c r="C24" s="2">
        <v>0</v>
      </c>
      <c r="D24" s="2">
        <v>2.8130000000000002</v>
      </c>
      <c r="E24" s="2">
        <v>136.126</v>
      </c>
      <c r="F24" s="2">
        <v>213.161</v>
      </c>
      <c r="G24" s="2">
        <v>176.32300000000001</v>
      </c>
      <c r="H24" s="2">
        <v>90.372</v>
      </c>
      <c r="I24" s="2">
        <v>21.19</v>
      </c>
      <c r="J24" s="2">
        <v>17.863</v>
      </c>
      <c r="K24" s="2">
        <v>10.619</v>
      </c>
      <c r="L24" s="2">
        <v>7.4050000000000002</v>
      </c>
      <c r="M24" s="2">
        <v>0</v>
      </c>
    </row>
    <row r="25" spans="1:13" x14ac:dyDescent="0.3">
      <c r="A25" s="3">
        <v>1389</v>
      </c>
      <c r="B25" s="2">
        <v>0</v>
      </c>
      <c r="C25" s="2">
        <v>0</v>
      </c>
      <c r="D25" s="2">
        <v>0.61899999999999999</v>
      </c>
      <c r="E25" s="2">
        <v>5.4779999999999998</v>
      </c>
      <c r="F25" s="2">
        <v>64.576999999999998</v>
      </c>
      <c r="G25" s="2">
        <v>35.323</v>
      </c>
      <c r="H25" s="2">
        <v>36.152000000000001</v>
      </c>
      <c r="I25" s="2">
        <v>7.9020000000000001</v>
      </c>
      <c r="J25" s="2">
        <v>3.2690000000000001</v>
      </c>
      <c r="K25" s="2">
        <v>1.8460000000000001</v>
      </c>
      <c r="L25" s="2">
        <v>0</v>
      </c>
      <c r="M25" s="2">
        <v>0</v>
      </c>
    </row>
    <row r="26" spans="1:13" x14ac:dyDescent="0.3">
      <c r="A26" s="3">
        <v>1390</v>
      </c>
      <c r="B26" s="2">
        <v>0</v>
      </c>
      <c r="C26" s="2">
        <v>0</v>
      </c>
      <c r="D26" s="2">
        <v>0.215</v>
      </c>
      <c r="E26" s="2">
        <v>6.4130000000000003</v>
      </c>
      <c r="F26" s="2">
        <v>82.725999999999999</v>
      </c>
      <c r="G26" s="2">
        <v>146.01300000000001</v>
      </c>
      <c r="H26" s="2">
        <v>28.068999999999999</v>
      </c>
      <c r="I26" s="2">
        <v>12.721</v>
      </c>
      <c r="J26" s="2">
        <v>6.3049999999999997</v>
      </c>
      <c r="K26" s="2">
        <v>3.8439999999999999</v>
      </c>
      <c r="L26" s="2">
        <v>2.7410000000000001</v>
      </c>
      <c r="M26" s="2">
        <v>0</v>
      </c>
    </row>
    <row r="27" spans="1:13" x14ac:dyDescent="0.3">
      <c r="A27" s="4">
        <v>1391</v>
      </c>
      <c r="B27" s="1">
        <v>0</v>
      </c>
      <c r="C27" s="1">
        <v>0</v>
      </c>
      <c r="D27" s="1">
        <v>0.16300000000000001</v>
      </c>
      <c r="E27" s="1">
        <v>1.835</v>
      </c>
      <c r="F27" s="1">
        <v>11.776999999999999</v>
      </c>
      <c r="G27" s="1">
        <v>44.252000000000002</v>
      </c>
      <c r="H27" s="1">
        <v>46.103000000000002</v>
      </c>
      <c r="I27" s="1">
        <v>46.795999999999999</v>
      </c>
      <c r="J27" s="1">
        <v>7.375</v>
      </c>
      <c r="K27" s="1">
        <v>9.2170000000000005</v>
      </c>
      <c r="L27" s="1">
        <v>3.9540000000000002</v>
      </c>
      <c r="M27" s="1">
        <v>0</v>
      </c>
    </row>
    <row r="28" spans="1:13" x14ac:dyDescent="0.3">
      <c r="A28" s="4">
        <v>1392</v>
      </c>
      <c r="B28" s="1">
        <v>0</v>
      </c>
      <c r="C28" s="1">
        <v>0</v>
      </c>
      <c r="D28" s="1">
        <v>0.13100000000000001</v>
      </c>
      <c r="E28" s="1">
        <v>1.4690000000000001</v>
      </c>
      <c r="F28" s="1">
        <v>21.940999999999999</v>
      </c>
      <c r="G28" s="1">
        <v>41.368000000000002</v>
      </c>
      <c r="H28" s="1">
        <v>39.601999999999997</v>
      </c>
      <c r="I28" s="1">
        <v>14.167999999999999</v>
      </c>
      <c r="J28" s="1">
        <v>4.2489999999999997</v>
      </c>
      <c r="K28" s="1">
        <v>8.3149999999999995</v>
      </c>
      <c r="L28" s="1">
        <v>2.6</v>
      </c>
      <c r="M28" s="1">
        <v>0</v>
      </c>
    </row>
    <row r="29" spans="1:13" x14ac:dyDescent="0.3">
      <c r="A29" s="4">
        <v>1393</v>
      </c>
      <c r="B29" s="1">
        <v>0</v>
      </c>
      <c r="C29" s="1">
        <v>0</v>
      </c>
      <c r="D29" s="1">
        <v>0.14000000000000001</v>
      </c>
      <c r="E29" s="1">
        <v>2.5510000000000002</v>
      </c>
      <c r="F29" s="1">
        <v>30.071000000000002</v>
      </c>
      <c r="G29" s="1">
        <v>48.219000000000001</v>
      </c>
      <c r="H29" s="1">
        <v>15.266</v>
      </c>
      <c r="I29" s="1">
        <v>26.48</v>
      </c>
      <c r="J29" s="1">
        <v>9.7279999999999998</v>
      </c>
      <c r="K29" s="1">
        <v>17.760999999999999</v>
      </c>
      <c r="L29" s="1">
        <v>3.8330000000000002</v>
      </c>
      <c r="M29" s="1">
        <v>0</v>
      </c>
    </row>
    <row r="30" spans="1:13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403B-E8E8-453B-A610-940A653C407E}">
  <dimension ref="A1:Y30"/>
  <sheetViews>
    <sheetView topLeftCell="A7" workbookViewId="0">
      <selection activeCell="A30" sqref="A30:M30"/>
    </sheetView>
  </sheetViews>
  <sheetFormatPr defaultRowHeight="14.4" x14ac:dyDescent="0.3"/>
  <sheetData>
    <row r="1" spans="1:25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25" x14ac:dyDescent="0.3">
      <c r="A2" s="1">
        <v>1366</v>
      </c>
      <c r="B2" s="2">
        <v>0.32100000000000001</v>
      </c>
      <c r="C2" s="2">
        <v>0.78100000000000003</v>
      </c>
      <c r="D2" s="2">
        <v>2.7429999999999999</v>
      </c>
      <c r="E2" s="2">
        <v>12.872999999999999</v>
      </c>
      <c r="F2" s="2">
        <v>93.343999999999994</v>
      </c>
      <c r="G2" s="2">
        <v>116.613</v>
      </c>
      <c r="H2" s="2">
        <v>117.562</v>
      </c>
      <c r="I2" s="2">
        <v>18.190000000000001</v>
      </c>
      <c r="J2" s="2">
        <v>19.451000000000001</v>
      </c>
      <c r="K2" s="2">
        <v>6.5910000000000002</v>
      </c>
      <c r="L2" s="2">
        <v>5.5789999999999997</v>
      </c>
      <c r="M2" s="2">
        <v>0.67700000000000005</v>
      </c>
    </row>
    <row r="3" spans="1:25" x14ac:dyDescent="0.3">
      <c r="A3" s="1">
        <v>1367</v>
      </c>
      <c r="B3" s="2">
        <v>0.06</v>
      </c>
      <c r="C3" s="2">
        <v>0.41399999999999998</v>
      </c>
      <c r="D3" s="2">
        <v>0.47599999999999998</v>
      </c>
      <c r="E3" s="2">
        <v>2.0579999999999998</v>
      </c>
      <c r="F3" s="2">
        <v>11.164999999999999</v>
      </c>
      <c r="G3" s="2">
        <v>31.722999999999999</v>
      </c>
      <c r="H3" s="2">
        <v>34.372</v>
      </c>
      <c r="I3" s="2">
        <v>2.0299999999999998</v>
      </c>
      <c r="J3" s="2">
        <v>2.4700000000000002</v>
      </c>
      <c r="K3" s="2">
        <v>2.71</v>
      </c>
      <c r="L3" s="2">
        <v>5.1449999999999996</v>
      </c>
      <c r="M3" s="2">
        <v>0.73699999999999999</v>
      </c>
    </row>
    <row r="4" spans="1:25" x14ac:dyDescent="0.3">
      <c r="A4" s="1">
        <v>1368</v>
      </c>
      <c r="B4" s="2">
        <v>6.6000000000000003E-2</v>
      </c>
      <c r="C4" s="2">
        <v>0.16</v>
      </c>
      <c r="D4" s="2">
        <v>0.49</v>
      </c>
      <c r="E4" s="2">
        <v>2.2610000000000001</v>
      </c>
      <c r="F4" s="2">
        <v>17.652999999999999</v>
      </c>
      <c r="G4" s="2">
        <v>34.195</v>
      </c>
      <c r="H4" s="2">
        <v>298.28399999999999</v>
      </c>
      <c r="I4" s="2">
        <v>4.12</v>
      </c>
      <c r="J4" s="2">
        <v>4.0579999999999998</v>
      </c>
      <c r="K4" s="2">
        <v>8.3460000000000001</v>
      </c>
      <c r="L4" s="2">
        <v>4.2779999999999996</v>
      </c>
      <c r="M4" s="2">
        <v>0.15</v>
      </c>
    </row>
    <row r="5" spans="1:25" x14ac:dyDescent="0.3">
      <c r="A5" s="1">
        <v>1369</v>
      </c>
      <c r="B5" s="2">
        <v>2.7E-2</v>
      </c>
      <c r="C5" s="2">
        <v>0.10199999999999999</v>
      </c>
      <c r="D5" s="2">
        <v>0.77200000000000002</v>
      </c>
      <c r="E5" s="2">
        <v>1.8879999999999999</v>
      </c>
      <c r="F5" s="2">
        <v>10.525</v>
      </c>
      <c r="G5" s="2">
        <v>41.454999999999998</v>
      </c>
      <c r="H5" s="2">
        <v>9.9109999999999996</v>
      </c>
      <c r="I5" s="2">
        <v>2.234</v>
      </c>
      <c r="J5" s="2">
        <v>1.2270000000000001</v>
      </c>
      <c r="K5" s="2">
        <v>1.3480000000000001</v>
      </c>
      <c r="L5" s="2">
        <v>0.97799999999999998</v>
      </c>
      <c r="M5" s="2">
        <v>6.9000000000000006E-2</v>
      </c>
    </row>
    <row r="6" spans="1:25" x14ac:dyDescent="0.3">
      <c r="A6" s="1">
        <v>1370</v>
      </c>
      <c r="B6" s="2">
        <v>0.68400000000000005</v>
      </c>
      <c r="C6" s="2">
        <v>1.069</v>
      </c>
      <c r="D6" s="2">
        <v>2.4769999999999999</v>
      </c>
      <c r="E6" s="2">
        <v>24.157</v>
      </c>
      <c r="F6" s="2">
        <v>60.475000000000001</v>
      </c>
      <c r="G6" s="2">
        <v>43.563000000000002</v>
      </c>
      <c r="H6" s="2">
        <v>12.387</v>
      </c>
      <c r="I6" s="2">
        <v>4.3600000000000003</v>
      </c>
      <c r="J6" s="2">
        <v>4.7530000000000001</v>
      </c>
      <c r="K6" s="2">
        <v>10.09</v>
      </c>
      <c r="L6" s="2">
        <v>1.32</v>
      </c>
      <c r="M6" s="2">
        <v>0.14699999999999999</v>
      </c>
    </row>
    <row r="7" spans="1:25" x14ac:dyDescent="0.3">
      <c r="A7" s="1">
        <v>1371</v>
      </c>
      <c r="B7" s="2">
        <v>0.35699999999999998</v>
      </c>
      <c r="C7" s="2">
        <v>0.871</v>
      </c>
      <c r="D7" s="2">
        <v>1.8939999999999999</v>
      </c>
      <c r="E7" s="2">
        <v>6.2450000000000001</v>
      </c>
      <c r="F7" s="2">
        <v>20.492999999999999</v>
      </c>
      <c r="G7" s="2">
        <v>23.734000000000002</v>
      </c>
      <c r="H7" s="2">
        <v>17.471</v>
      </c>
      <c r="I7" s="2">
        <v>5.907</v>
      </c>
      <c r="J7" s="2">
        <v>8.0269999999999992</v>
      </c>
      <c r="K7" s="2">
        <v>8.2089999999999996</v>
      </c>
      <c r="L7" s="2">
        <v>3.0129999999999999</v>
      </c>
      <c r="M7" s="2">
        <v>1.1120000000000001</v>
      </c>
    </row>
    <row r="8" spans="1:25" x14ac:dyDescent="0.3">
      <c r="A8" s="1">
        <v>1372</v>
      </c>
      <c r="B8" s="2">
        <v>0.45500000000000002</v>
      </c>
      <c r="C8" s="2">
        <v>0.76500000000000001</v>
      </c>
      <c r="D8" s="2">
        <v>1.984</v>
      </c>
      <c r="E8" s="2">
        <v>7.694</v>
      </c>
      <c r="F8" s="2">
        <v>19.067</v>
      </c>
      <c r="G8" s="2">
        <v>26.797000000000001</v>
      </c>
      <c r="H8" s="2">
        <v>23.675000000000001</v>
      </c>
      <c r="I8" s="2">
        <v>18.061</v>
      </c>
      <c r="J8" s="2">
        <v>23.260999999999999</v>
      </c>
      <c r="K8" s="2">
        <v>16.422999999999998</v>
      </c>
      <c r="L8" s="2">
        <v>10.859</v>
      </c>
      <c r="M8" s="2">
        <v>0.34699999999999998</v>
      </c>
    </row>
    <row r="9" spans="1:25" x14ac:dyDescent="0.3">
      <c r="A9" s="1">
        <v>1373</v>
      </c>
      <c r="B9" s="2">
        <v>0.49866666666666665</v>
      </c>
      <c r="C9" s="2">
        <v>0.90166666666666673</v>
      </c>
      <c r="D9" s="2">
        <v>2.1183333333333332</v>
      </c>
      <c r="E9" s="2">
        <v>12.698666666666668</v>
      </c>
      <c r="F9" s="2">
        <v>33.344999999999999</v>
      </c>
      <c r="G9" s="2">
        <v>31.364666666666665</v>
      </c>
      <c r="H9" s="2">
        <v>17.844333333333335</v>
      </c>
      <c r="I9" s="2">
        <v>9.4426666666666659</v>
      </c>
      <c r="J9" s="2">
        <v>12.013666666666666</v>
      </c>
      <c r="K9" s="2">
        <v>11.573999999999998</v>
      </c>
      <c r="L9" s="2">
        <v>5.0640000000000001</v>
      </c>
      <c r="M9" s="2">
        <v>0.53533333333333333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1">
        <v>1374</v>
      </c>
      <c r="B10" s="2">
        <v>0.161</v>
      </c>
      <c r="C10" s="2">
        <v>0.19399999999999998</v>
      </c>
      <c r="D10" s="2">
        <v>0.8843333333333333</v>
      </c>
      <c r="E10" s="2">
        <v>3.3519999999999999</v>
      </c>
      <c r="F10" s="2">
        <v>16.159000000000002</v>
      </c>
      <c r="G10" s="2">
        <v>23.277333333333331</v>
      </c>
      <c r="H10" s="2">
        <v>9.3933333333333326</v>
      </c>
      <c r="I10" s="2">
        <v>4.6280000000000001</v>
      </c>
      <c r="J10" s="2">
        <v>2.4763333333333333</v>
      </c>
      <c r="K10" s="2">
        <v>1.54</v>
      </c>
      <c r="L10" s="2">
        <v>1.3996666666666666</v>
      </c>
      <c r="M10" s="2">
        <v>0.27166666666666667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1">
        <v>1375</v>
      </c>
      <c r="B11" s="2">
        <v>0.17</v>
      </c>
      <c r="C11" s="2">
        <v>0.221</v>
      </c>
      <c r="D11" s="2">
        <v>1.389</v>
      </c>
      <c r="E11" s="2">
        <v>5.9</v>
      </c>
      <c r="F11" s="2">
        <v>28.783000000000001</v>
      </c>
      <c r="G11" s="2">
        <v>30.829000000000001</v>
      </c>
      <c r="H11" s="2">
        <v>4.9749999999999996</v>
      </c>
      <c r="I11" s="2">
        <v>2.548</v>
      </c>
      <c r="J11" s="2">
        <v>2.83</v>
      </c>
      <c r="K11" s="2">
        <v>1.1850000000000001</v>
      </c>
      <c r="L11" s="2">
        <v>0.67500000000000004</v>
      </c>
      <c r="M11" s="2">
        <v>0.21199999999999999</v>
      </c>
    </row>
    <row r="12" spans="1:25" x14ac:dyDescent="0.3">
      <c r="A12" s="1">
        <v>1376</v>
      </c>
      <c r="B12" s="2">
        <v>0.16200000000000001</v>
      </c>
      <c r="C12" s="2">
        <v>0.20699999999999999</v>
      </c>
      <c r="D12" s="2">
        <v>1.0269999999999999</v>
      </c>
      <c r="E12" s="2">
        <v>3.8319999999999999</v>
      </c>
      <c r="F12" s="2">
        <v>16.869</v>
      </c>
      <c r="G12" s="2">
        <v>31.625</v>
      </c>
      <c r="H12" s="2">
        <v>17.425000000000001</v>
      </c>
      <c r="I12" s="2">
        <v>8.9130000000000003</v>
      </c>
      <c r="J12" s="2">
        <v>2.1469999999999998</v>
      </c>
      <c r="K12" s="2">
        <v>1.8220000000000001</v>
      </c>
      <c r="L12" s="2">
        <v>2.7719999999999998</v>
      </c>
      <c r="M12" s="2">
        <v>0.25</v>
      </c>
    </row>
    <row r="13" spans="1:25" x14ac:dyDescent="0.3">
      <c r="A13" s="1">
        <v>1377</v>
      </c>
      <c r="B13" s="2">
        <v>0.151</v>
      </c>
      <c r="C13" s="2">
        <v>0.154</v>
      </c>
      <c r="D13" s="2">
        <v>0.23699999999999999</v>
      </c>
      <c r="E13" s="2">
        <v>0.32400000000000001</v>
      </c>
      <c r="F13" s="2">
        <v>2.8250000000000002</v>
      </c>
      <c r="G13" s="2">
        <v>7.3780000000000001</v>
      </c>
      <c r="H13" s="2">
        <v>5.78</v>
      </c>
      <c r="I13" s="2">
        <v>2.423</v>
      </c>
      <c r="J13" s="2">
        <v>2.452</v>
      </c>
      <c r="K13" s="2">
        <v>1.613</v>
      </c>
      <c r="L13" s="2">
        <v>0.752</v>
      </c>
      <c r="M13" s="2">
        <v>0.35299999999999998</v>
      </c>
    </row>
    <row r="14" spans="1:25" x14ac:dyDescent="0.3">
      <c r="A14" s="1">
        <v>1378</v>
      </c>
      <c r="B14" s="2">
        <v>0.14099999999999999</v>
      </c>
      <c r="C14" s="2">
        <v>0.16600000000000001</v>
      </c>
      <c r="D14" s="2">
        <v>0.19600000000000001</v>
      </c>
      <c r="E14" s="2">
        <v>0.92300000000000004</v>
      </c>
      <c r="F14" s="2">
        <v>6.4569999999999999</v>
      </c>
      <c r="G14" s="2">
        <v>26.227</v>
      </c>
      <c r="H14" s="2">
        <v>9.2189999999999994</v>
      </c>
      <c r="I14" s="2">
        <v>3.153</v>
      </c>
      <c r="J14" s="2">
        <v>2.8290000000000002</v>
      </c>
      <c r="K14" s="2">
        <v>1.8069999999999999</v>
      </c>
      <c r="L14" s="2">
        <v>0.34100000000000003</v>
      </c>
      <c r="M14" s="2">
        <v>0.36299999999999999</v>
      </c>
    </row>
    <row r="15" spans="1:25" x14ac:dyDescent="0.3">
      <c r="A15" s="1">
        <v>1379</v>
      </c>
      <c r="B15" s="2">
        <v>8.8999999999999996E-2</v>
      </c>
      <c r="C15" s="2">
        <v>0.13600000000000001</v>
      </c>
      <c r="D15" s="2">
        <v>0.21299999999999999</v>
      </c>
      <c r="E15" s="2">
        <v>0.21299999999999999</v>
      </c>
      <c r="F15" s="2">
        <v>4.0190000000000001</v>
      </c>
      <c r="G15" s="2">
        <v>16.960999999999999</v>
      </c>
      <c r="H15" s="2">
        <v>17.977</v>
      </c>
      <c r="I15" s="2">
        <v>4.9160000000000004</v>
      </c>
      <c r="J15" s="2">
        <v>2.839</v>
      </c>
      <c r="K15" s="2">
        <v>0.61099999999999999</v>
      </c>
      <c r="L15" s="2">
        <v>0.38700000000000001</v>
      </c>
      <c r="M15" s="2">
        <v>0.91600000000000004</v>
      </c>
    </row>
    <row r="16" spans="1:25" x14ac:dyDescent="0.3">
      <c r="A16" s="1">
        <v>1380</v>
      </c>
      <c r="B16" s="2">
        <v>0.13900000000000001</v>
      </c>
      <c r="C16" s="2">
        <v>0.23799999999999999</v>
      </c>
      <c r="D16" s="2">
        <v>0.755</v>
      </c>
      <c r="E16" s="2">
        <v>2.9180000000000001</v>
      </c>
      <c r="F16" s="2">
        <v>22.805</v>
      </c>
      <c r="G16" s="2">
        <v>48.436</v>
      </c>
      <c r="H16" s="2">
        <v>18.373999999999999</v>
      </c>
      <c r="I16" s="2">
        <v>15.194000000000001</v>
      </c>
      <c r="J16" s="2">
        <v>31.484000000000002</v>
      </c>
      <c r="K16" s="2">
        <v>7.0039999999999996</v>
      </c>
      <c r="L16" s="2">
        <v>1.1140000000000001</v>
      </c>
      <c r="M16" s="2">
        <v>0.13</v>
      </c>
    </row>
    <row r="17" spans="1:13" x14ac:dyDescent="0.3">
      <c r="A17" s="1">
        <v>1381</v>
      </c>
      <c r="B17" s="2">
        <v>0.4</v>
      </c>
      <c r="C17" s="2">
        <v>0.73599999999999999</v>
      </c>
      <c r="D17" s="2">
        <v>2.1680000000000001</v>
      </c>
      <c r="E17" s="2">
        <v>10.439</v>
      </c>
      <c r="F17" s="2">
        <v>45.125999999999998</v>
      </c>
      <c r="G17" s="2">
        <v>70.599999999999994</v>
      </c>
      <c r="H17" s="2">
        <v>44.320999999999998</v>
      </c>
      <c r="I17" s="2">
        <v>10.877000000000001</v>
      </c>
      <c r="J17" s="2">
        <v>12.007</v>
      </c>
      <c r="K17" s="2">
        <v>8.9570000000000007</v>
      </c>
      <c r="L17" s="2">
        <v>0.67300000000000004</v>
      </c>
      <c r="M17" s="2">
        <v>0.11700000000000001</v>
      </c>
    </row>
    <row r="18" spans="1:13" x14ac:dyDescent="0.3">
      <c r="A18" s="1">
        <v>1382</v>
      </c>
      <c r="B18" s="2">
        <v>0.10299999999999999</v>
      </c>
      <c r="C18" s="2">
        <v>0.33600000000000002</v>
      </c>
      <c r="D18" s="2">
        <v>1.681</v>
      </c>
      <c r="E18" s="2">
        <v>5.7549999999999999</v>
      </c>
      <c r="F18" s="2">
        <v>22.79</v>
      </c>
      <c r="G18" s="2">
        <v>21.361000000000001</v>
      </c>
      <c r="H18" s="2">
        <v>34.259</v>
      </c>
      <c r="I18" s="2">
        <v>15.643000000000001</v>
      </c>
      <c r="J18" s="2">
        <v>11.103</v>
      </c>
      <c r="K18" s="2">
        <v>8.2129999999999992</v>
      </c>
      <c r="L18" s="2">
        <v>4.55</v>
      </c>
      <c r="M18" s="2">
        <v>0.437</v>
      </c>
    </row>
    <row r="19" spans="1:13" x14ac:dyDescent="0.3">
      <c r="A19" s="1">
        <v>1383</v>
      </c>
      <c r="B19" s="2">
        <v>0.32600000000000001</v>
      </c>
      <c r="C19" s="2">
        <v>0.11</v>
      </c>
      <c r="D19" s="2">
        <v>0.34499999999999997</v>
      </c>
      <c r="E19" s="2">
        <v>2.1070000000000002</v>
      </c>
      <c r="F19" s="2">
        <v>13.667999999999999</v>
      </c>
      <c r="G19" s="2">
        <v>28.161000000000001</v>
      </c>
      <c r="H19" s="2">
        <v>56.485999999999997</v>
      </c>
      <c r="I19" s="2">
        <v>9.4700000000000006</v>
      </c>
      <c r="J19" s="2">
        <v>5.8129999999999997</v>
      </c>
      <c r="K19" s="2">
        <v>8.43</v>
      </c>
      <c r="L19" s="2">
        <v>5.5529999999999999</v>
      </c>
      <c r="M19" s="2">
        <v>0.19</v>
      </c>
    </row>
    <row r="20" spans="1:13" x14ac:dyDescent="0.3">
      <c r="A20" s="1">
        <v>1384</v>
      </c>
      <c r="B20" s="2">
        <v>0.245</v>
      </c>
      <c r="C20" s="2">
        <v>0.29699999999999999</v>
      </c>
      <c r="D20" s="2">
        <v>0.67800000000000005</v>
      </c>
      <c r="E20" s="2">
        <v>2.4870000000000001</v>
      </c>
      <c r="F20" s="2">
        <v>12.811999999999999</v>
      </c>
      <c r="G20" s="2">
        <v>13.977</v>
      </c>
      <c r="H20" s="2">
        <v>26.341000000000001</v>
      </c>
      <c r="I20" s="2">
        <v>34.673000000000002</v>
      </c>
      <c r="J20" s="2">
        <v>2.1339999999999999</v>
      </c>
      <c r="K20" s="2">
        <v>1.419</v>
      </c>
      <c r="L20" s="2">
        <v>0.437</v>
      </c>
      <c r="M20" s="2">
        <v>0.14399999999999999</v>
      </c>
    </row>
    <row r="21" spans="1:13" x14ac:dyDescent="0.3">
      <c r="A21" s="1">
        <v>1385</v>
      </c>
      <c r="B21" s="2">
        <v>0.17199999999999999</v>
      </c>
      <c r="C21" s="2">
        <v>0.40100000000000002</v>
      </c>
      <c r="D21" s="2">
        <v>1.8779999999999999</v>
      </c>
      <c r="E21" s="2">
        <v>5.7190000000000003</v>
      </c>
      <c r="F21" s="2">
        <v>8.1630000000000003</v>
      </c>
      <c r="G21" s="2">
        <v>7.9390000000000001</v>
      </c>
      <c r="H21" s="2">
        <v>10.728</v>
      </c>
      <c r="I21" s="2">
        <v>7.1509999999999998</v>
      </c>
      <c r="J21" s="2">
        <v>4.7249999999999996</v>
      </c>
      <c r="K21" s="2">
        <v>2.7029999999999998</v>
      </c>
      <c r="L21" s="2">
        <v>1.448</v>
      </c>
      <c r="M21" s="2">
        <v>0.35399999999999998</v>
      </c>
    </row>
    <row r="22" spans="1:13" x14ac:dyDescent="0.3">
      <c r="A22" s="1">
        <v>1386</v>
      </c>
      <c r="B22" s="2">
        <v>0.28599999999999998</v>
      </c>
      <c r="C22" s="2">
        <v>0.317</v>
      </c>
      <c r="D22" s="2">
        <v>0.373</v>
      </c>
      <c r="E22" s="2">
        <v>0.65900000000000003</v>
      </c>
      <c r="F22" s="2">
        <v>2.972</v>
      </c>
      <c r="G22" s="2">
        <v>14.238</v>
      </c>
      <c r="H22" s="2">
        <v>20.34</v>
      </c>
      <c r="I22" s="2">
        <v>1.5840000000000001</v>
      </c>
      <c r="J22" s="2">
        <v>1.349</v>
      </c>
      <c r="K22" s="2">
        <v>2.1840000000000002</v>
      </c>
      <c r="L22" s="2">
        <v>0.377</v>
      </c>
      <c r="M22" s="2">
        <v>0.224</v>
      </c>
    </row>
    <row r="23" spans="1:13" x14ac:dyDescent="0.3">
      <c r="A23" s="1">
        <v>1387</v>
      </c>
      <c r="B23" s="2">
        <v>0.158</v>
      </c>
      <c r="C23" s="2">
        <v>0.221</v>
      </c>
      <c r="D23" s="2">
        <v>0.373</v>
      </c>
      <c r="E23" s="2">
        <v>2.363</v>
      </c>
      <c r="F23" s="2">
        <v>7.282</v>
      </c>
      <c r="G23" s="2">
        <v>13.317</v>
      </c>
      <c r="H23" s="2">
        <v>8.0380000000000003</v>
      </c>
      <c r="I23" s="2">
        <v>4.3440000000000003</v>
      </c>
      <c r="J23" s="2">
        <v>1.3280000000000001</v>
      </c>
      <c r="K23" s="2">
        <v>2.206</v>
      </c>
      <c r="L23" s="2">
        <v>4.5119999999999996</v>
      </c>
      <c r="M23" s="2">
        <v>0.91200000000000003</v>
      </c>
    </row>
    <row r="24" spans="1:13" x14ac:dyDescent="0.3">
      <c r="A24" s="1">
        <v>1388</v>
      </c>
      <c r="B24" s="2">
        <v>0.23300000000000001</v>
      </c>
      <c r="C24" s="2">
        <v>0.17699999999999999</v>
      </c>
      <c r="D24" s="2">
        <v>0.22600000000000001</v>
      </c>
      <c r="E24" s="2">
        <v>3.2149999999999999</v>
      </c>
      <c r="F24" s="2">
        <v>19.818000000000001</v>
      </c>
      <c r="G24" s="2">
        <v>12.292999999999999</v>
      </c>
      <c r="H24" s="2">
        <v>18.13</v>
      </c>
      <c r="I24" s="2">
        <v>8.7829999999999995</v>
      </c>
      <c r="J24" s="2">
        <v>6.25</v>
      </c>
      <c r="K24" s="2">
        <v>5.4820000000000002</v>
      </c>
      <c r="L24" s="2">
        <v>5.7960000000000003</v>
      </c>
      <c r="M24" s="2">
        <v>0.26</v>
      </c>
    </row>
    <row r="25" spans="1:13" x14ac:dyDescent="0.3">
      <c r="A25" s="1">
        <v>1389</v>
      </c>
      <c r="B25" s="2">
        <v>0.20100000000000001</v>
      </c>
      <c r="C25" s="2">
        <v>0.371</v>
      </c>
      <c r="D25" s="2">
        <v>0.51700000000000002</v>
      </c>
      <c r="E25" s="2">
        <v>2.4670000000000001</v>
      </c>
      <c r="F25" s="2">
        <v>28.832000000000001</v>
      </c>
      <c r="G25" s="2">
        <v>22.332000000000001</v>
      </c>
      <c r="H25" s="2">
        <v>19.817</v>
      </c>
      <c r="I25" s="2">
        <v>4.0590000000000002</v>
      </c>
      <c r="J25" s="2">
        <v>1.2789999999999999</v>
      </c>
      <c r="K25" s="2">
        <v>0.61399999999999999</v>
      </c>
      <c r="L25" s="2">
        <v>0.222</v>
      </c>
      <c r="M25" s="2">
        <v>0.192</v>
      </c>
    </row>
    <row r="26" spans="1:13" x14ac:dyDescent="0.3">
      <c r="A26" s="1">
        <v>1390</v>
      </c>
      <c r="B26" s="2">
        <v>0.14799999999999999</v>
      </c>
      <c r="C26" s="2">
        <v>0.193</v>
      </c>
      <c r="D26" s="2">
        <v>0.70099999999999996</v>
      </c>
      <c r="E26" s="2">
        <v>3.8719999999999999</v>
      </c>
      <c r="F26" s="2">
        <v>21.445</v>
      </c>
      <c r="G26" s="2">
        <v>47.747999999999998</v>
      </c>
      <c r="H26" s="2">
        <v>11.457000000000001</v>
      </c>
      <c r="I26" s="2">
        <v>4.8630000000000004</v>
      </c>
      <c r="J26" s="2">
        <v>4.0940000000000003</v>
      </c>
      <c r="K26" s="2">
        <v>2.972</v>
      </c>
      <c r="L26" s="2">
        <v>2.399</v>
      </c>
      <c r="M26" s="2">
        <v>0.24099999999999999</v>
      </c>
    </row>
    <row r="27" spans="1:13" x14ac:dyDescent="0.3">
      <c r="A27" s="4">
        <v>1391</v>
      </c>
      <c r="B27" s="1">
        <v>0.215</v>
      </c>
      <c r="C27" s="1">
        <v>0.22</v>
      </c>
      <c r="D27" s="1">
        <v>0.188</v>
      </c>
      <c r="E27" s="1">
        <v>1.5</v>
      </c>
      <c r="F27" s="1">
        <v>6.0679999999999996</v>
      </c>
      <c r="G27" s="1">
        <v>14.481999999999999</v>
      </c>
      <c r="H27" s="1">
        <v>17.228000000000002</v>
      </c>
      <c r="I27" s="1">
        <v>17.744</v>
      </c>
      <c r="J27" s="1">
        <v>6.64</v>
      </c>
      <c r="K27" s="1">
        <v>5.24</v>
      </c>
      <c r="L27" s="1">
        <v>1.83</v>
      </c>
      <c r="M27" s="1">
        <v>0.24299999999999999</v>
      </c>
    </row>
    <row r="28" spans="1:13" x14ac:dyDescent="0.3">
      <c r="A28" s="4">
        <v>1392</v>
      </c>
      <c r="B28" s="1">
        <v>0.193</v>
      </c>
      <c r="C28" s="1">
        <v>0.17199999999999999</v>
      </c>
      <c r="D28" s="1">
        <v>0.42399999999999999</v>
      </c>
      <c r="E28" s="1">
        <v>1.4359999999999999</v>
      </c>
      <c r="F28" s="1">
        <v>7.391</v>
      </c>
      <c r="G28" s="1">
        <v>21.135999999999999</v>
      </c>
      <c r="H28" s="1">
        <v>19.721</v>
      </c>
      <c r="I28" s="1">
        <v>9.3140000000000001</v>
      </c>
      <c r="J28" s="1">
        <v>4.1479999999999997</v>
      </c>
      <c r="K28" s="1">
        <v>7.4770000000000003</v>
      </c>
      <c r="L28" s="1">
        <v>1.0449999999999999</v>
      </c>
      <c r="M28" s="1">
        <v>0.255</v>
      </c>
    </row>
    <row r="29" spans="1:13" x14ac:dyDescent="0.3">
      <c r="A29" s="1">
        <v>1393</v>
      </c>
      <c r="B29" s="1">
        <v>0.754</v>
      </c>
      <c r="C29" s="1">
        <v>0.68100000000000005</v>
      </c>
      <c r="D29" s="1">
        <v>0.38100000000000001</v>
      </c>
      <c r="E29" s="1">
        <v>1.9830000000000001</v>
      </c>
      <c r="F29" s="1">
        <v>10.768000000000001</v>
      </c>
      <c r="G29" s="1">
        <v>25.51</v>
      </c>
      <c r="H29" s="1">
        <v>10.013</v>
      </c>
      <c r="I29" s="1">
        <v>15.348000000000001</v>
      </c>
      <c r="J29" s="1">
        <v>9.1769999999999996</v>
      </c>
      <c r="K29" s="1">
        <v>12.765000000000001</v>
      </c>
      <c r="L29" s="1">
        <v>3.5979999999999999</v>
      </c>
      <c r="M29" s="1">
        <v>1.2310000000000001</v>
      </c>
    </row>
    <row r="30" spans="1:1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7C6F-6697-41BE-857B-3EE749544480}">
  <dimension ref="A1:M29"/>
  <sheetViews>
    <sheetView topLeftCell="A4" workbookViewId="0">
      <selection activeCell="I31" sqref="I31"/>
    </sheetView>
  </sheetViews>
  <sheetFormatPr defaultRowHeight="14.4" x14ac:dyDescent="0.3"/>
  <cols>
    <col min="1" max="1" width="9.5546875" bestFit="1" customWidth="1"/>
    <col min="2" max="13" width="9" bestFit="1" customWidth="1"/>
  </cols>
  <sheetData>
    <row r="1" spans="1:13" x14ac:dyDescent="0.3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s="3">
        <v>1366</v>
      </c>
      <c r="B2" s="2">
        <v>2.153</v>
      </c>
      <c r="C2" s="2">
        <v>3.1230000000000002</v>
      </c>
      <c r="D2" s="2">
        <v>7.4939999999999998</v>
      </c>
      <c r="E2" s="2">
        <v>21.170999999999999</v>
      </c>
      <c r="F2" s="2">
        <v>112.205</v>
      </c>
      <c r="G2" s="2">
        <v>98.515000000000001</v>
      </c>
      <c r="H2" s="2">
        <v>39.957000000000001</v>
      </c>
      <c r="I2" s="2">
        <v>6.9820000000000002</v>
      </c>
      <c r="J2" s="2">
        <v>5.57</v>
      </c>
      <c r="K2" s="2">
        <v>3.7850000000000001</v>
      </c>
      <c r="L2" s="2">
        <v>5.1479999999999997</v>
      </c>
      <c r="M2" s="2">
        <v>2.4289999999999998</v>
      </c>
    </row>
    <row r="3" spans="1:13" x14ac:dyDescent="0.3">
      <c r="A3" s="3">
        <v>1367</v>
      </c>
      <c r="B3" s="2">
        <v>0.16</v>
      </c>
      <c r="C3" s="2">
        <v>0.57899999999999996</v>
      </c>
      <c r="D3" s="2">
        <v>0.998</v>
      </c>
      <c r="E3" s="2">
        <v>3.2410000000000001</v>
      </c>
      <c r="F3" s="2">
        <v>11.263</v>
      </c>
      <c r="G3" s="2">
        <v>24.773</v>
      </c>
      <c r="H3" s="2">
        <v>14.471</v>
      </c>
      <c r="I3" s="2">
        <v>7.3890000000000002</v>
      </c>
      <c r="J3" s="2">
        <v>5.52</v>
      </c>
      <c r="K3" s="2">
        <v>5.1109999999999998</v>
      </c>
      <c r="L3" s="2">
        <v>4.71</v>
      </c>
      <c r="M3" s="2">
        <v>3.1779999999999999</v>
      </c>
    </row>
    <row r="4" spans="1:13" x14ac:dyDescent="0.3">
      <c r="A4" s="3">
        <v>1368</v>
      </c>
      <c r="B4" s="2">
        <v>0.29399999999999998</v>
      </c>
      <c r="C4" s="2">
        <v>0.4</v>
      </c>
      <c r="D4" s="2">
        <v>0.79400000000000004</v>
      </c>
      <c r="E4" s="2">
        <v>3.1789999999999998</v>
      </c>
      <c r="F4" s="2">
        <v>25.018999999999998</v>
      </c>
      <c r="G4" s="2">
        <v>29.096</v>
      </c>
      <c r="H4" s="2">
        <v>14.885999999999999</v>
      </c>
      <c r="I4" s="2">
        <v>6.0679999999999996</v>
      </c>
      <c r="J4" s="2">
        <v>3.117</v>
      </c>
      <c r="K4" s="2">
        <v>2.427</v>
      </c>
      <c r="L4" s="2">
        <v>3.7810000000000001</v>
      </c>
      <c r="M4" s="2">
        <v>0.68200000000000005</v>
      </c>
    </row>
    <row r="5" spans="1:13" x14ac:dyDescent="0.3">
      <c r="A5" s="3">
        <v>1369</v>
      </c>
      <c r="B5" s="2">
        <v>0.189</v>
      </c>
      <c r="C5" s="2">
        <v>0.3</v>
      </c>
      <c r="D5" s="2">
        <v>1.5569999999999999</v>
      </c>
      <c r="E5" s="2">
        <v>2.6890000000000001</v>
      </c>
      <c r="F5" s="2">
        <v>22.512</v>
      </c>
      <c r="G5" s="2">
        <v>37.046999999999997</v>
      </c>
      <c r="H5" s="2">
        <v>7.1879999999999997</v>
      </c>
      <c r="I5" s="2">
        <v>3.0750000000000002</v>
      </c>
      <c r="J5" s="2">
        <v>1.7250000000000001</v>
      </c>
      <c r="K5" s="2">
        <v>1.9550000000000001</v>
      </c>
      <c r="L5" s="2">
        <v>2.5190000000000001</v>
      </c>
      <c r="M5" s="2">
        <v>0.39300000000000002</v>
      </c>
    </row>
    <row r="6" spans="1:13" x14ac:dyDescent="0.3">
      <c r="A6" s="3">
        <v>1370</v>
      </c>
      <c r="B6" s="2">
        <v>2.5470000000000002</v>
      </c>
      <c r="C6" s="2">
        <v>1.708</v>
      </c>
      <c r="D6" s="2">
        <v>5.8470000000000004</v>
      </c>
      <c r="E6" s="2">
        <v>44.107999999999997</v>
      </c>
      <c r="F6" s="2">
        <v>80.998000000000005</v>
      </c>
      <c r="G6" s="2">
        <v>53.625999999999998</v>
      </c>
      <c r="H6" s="2">
        <v>17.54</v>
      </c>
      <c r="I6" s="2">
        <v>6.5720000000000001</v>
      </c>
      <c r="J6" s="2">
        <v>5.9749999999999996</v>
      </c>
      <c r="K6" s="2">
        <v>9.3030000000000008</v>
      </c>
      <c r="L6" s="2">
        <v>1.5940000000000001</v>
      </c>
      <c r="M6" s="2">
        <v>0.48399999999999999</v>
      </c>
    </row>
    <row r="7" spans="1:13" x14ac:dyDescent="0.3">
      <c r="A7" s="3">
        <v>1371</v>
      </c>
      <c r="B7" s="2">
        <v>1</v>
      </c>
      <c r="C7" s="2">
        <v>1.494</v>
      </c>
      <c r="D7" s="2">
        <v>1.9510000000000001</v>
      </c>
      <c r="E7" s="2">
        <v>16.427</v>
      </c>
      <c r="F7" s="2">
        <v>37.746000000000002</v>
      </c>
      <c r="G7" s="2">
        <v>33.798999999999999</v>
      </c>
      <c r="H7" s="2">
        <v>9.266</v>
      </c>
      <c r="I7" s="2">
        <v>3.2669999999999999</v>
      </c>
      <c r="J7" s="2">
        <v>2.4129999999999998</v>
      </c>
      <c r="K7" s="2">
        <v>3.097</v>
      </c>
      <c r="L7" s="2">
        <v>3.3540000000000001</v>
      </c>
      <c r="M7" s="2">
        <v>1.77</v>
      </c>
    </row>
    <row r="8" spans="1:13" x14ac:dyDescent="0.3">
      <c r="A8" s="3">
        <v>1372</v>
      </c>
      <c r="B8" s="2">
        <v>1.5820000000000001</v>
      </c>
      <c r="C8" s="2">
        <v>1.734</v>
      </c>
      <c r="D8" s="2">
        <v>2.2349999999999999</v>
      </c>
      <c r="E8" s="2">
        <v>18.077999999999999</v>
      </c>
      <c r="F8" s="2">
        <v>54.158999999999999</v>
      </c>
      <c r="G8" s="2">
        <v>38.003</v>
      </c>
      <c r="H8" s="2">
        <v>23.003</v>
      </c>
      <c r="I8" s="2">
        <v>33.476999999999997</v>
      </c>
      <c r="J8" s="2">
        <v>25.613</v>
      </c>
      <c r="K8" s="2">
        <v>4.7690000000000001</v>
      </c>
      <c r="L8" s="2">
        <v>4.0380000000000003</v>
      </c>
      <c r="M8" s="2">
        <v>1.2969999999999999</v>
      </c>
    </row>
    <row r="9" spans="1:13" x14ac:dyDescent="0.3">
      <c r="A9" s="3">
        <v>1373</v>
      </c>
      <c r="B9" s="2">
        <v>1.218</v>
      </c>
      <c r="C9" s="2">
        <v>1.839</v>
      </c>
      <c r="D9" s="2">
        <v>5.9770000000000003</v>
      </c>
      <c r="E9" s="2">
        <v>30.731000000000002</v>
      </c>
      <c r="F9" s="2">
        <v>41.734000000000002</v>
      </c>
      <c r="G9" s="2">
        <v>31.78</v>
      </c>
      <c r="H9" s="2">
        <v>10.378</v>
      </c>
      <c r="I9" s="2">
        <v>5.2350000000000003</v>
      </c>
      <c r="J9" s="2">
        <v>2.1869999999999998</v>
      </c>
      <c r="K9" s="2">
        <v>3.056</v>
      </c>
      <c r="L9" s="2">
        <v>13.305999999999999</v>
      </c>
      <c r="M9" s="2">
        <v>2.1259999999999999</v>
      </c>
    </row>
    <row r="10" spans="1:13" x14ac:dyDescent="0.3">
      <c r="A10" s="3">
        <v>1374</v>
      </c>
      <c r="B10" s="2">
        <v>0.437</v>
      </c>
      <c r="C10" s="2">
        <v>0.63800000000000001</v>
      </c>
      <c r="D10" s="2">
        <v>0.92900000000000005</v>
      </c>
      <c r="E10" s="2">
        <v>13.754</v>
      </c>
      <c r="F10" s="2">
        <v>25.378</v>
      </c>
      <c r="G10" s="2">
        <v>25.577000000000002</v>
      </c>
      <c r="H10" s="2">
        <v>9.7810000000000006</v>
      </c>
      <c r="I10" s="2">
        <v>6.1680000000000001</v>
      </c>
      <c r="J10" s="2">
        <v>2.6429999999999998</v>
      </c>
      <c r="K10" s="2">
        <v>2.3769999999999998</v>
      </c>
      <c r="L10" s="2">
        <v>1.7070000000000001</v>
      </c>
      <c r="M10" s="2">
        <v>1.3640000000000001</v>
      </c>
    </row>
    <row r="11" spans="1:13" x14ac:dyDescent="0.3">
      <c r="A11" s="3">
        <v>1375</v>
      </c>
      <c r="B11" s="2">
        <v>0</v>
      </c>
      <c r="C11" s="2">
        <v>0.25800000000000001</v>
      </c>
      <c r="D11" s="2">
        <v>1.8859999999999999</v>
      </c>
      <c r="E11" s="2">
        <v>3.8149999999999999</v>
      </c>
      <c r="F11" s="2">
        <v>22.891999999999999</v>
      </c>
      <c r="G11" s="2">
        <v>15.555</v>
      </c>
      <c r="H11" s="2">
        <v>5.8470000000000004</v>
      </c>
      <c r="I11" s="2">
        <v>2.827</v>
      </c>
      <c r="J11" s="2">
        <v>3.64</v>
      </c>
      <c r="K11" s="2">
        <v>2.2429999999999999</v>
      </c>
      <c r="L11" s="2">
        <v>1.6970000000000001</v>
      </c>
      <c r="M11" s="2">
        <v>0.95699999999999996</v>
      </c>
    </row>
    <row r="12" spans="1:13" x14ac:dyDescent="0.3">
      <c r="A12" s="3">
        <v>1376</v>
      </c>
      <c r="B12" s="2">
        <v>0.64800000000000002</v>
      </c>
      <c r="C12" s="2">
        <v>0.79200000000000004</v>
      </c>
      <c r="D12" s="2">
        <v>0.78800000000000003</v>
      </c>
      <c r="E12" s="2">
        <v>6.2720000000000002</v>
      </c>
      <c r="F12" s="2">
        <v>38.409999999999997</v>
      </c>
      <c r="G12" s="2">
        <v>42.430999999999997</v>
      </c>
      <c r="H12" s="2">
        <v>6.8310000000000004</v>
      </c>
      <c r="I12" s="2">
        <v>3.919</v>
      </c>
      <c r="J12" s="2">
        <v>2.3839999999999999</v>
      </c>
      <c r="K12" s="2">
        <v>2.5569999999999999</v>
      </c>
      <c r="L12" s="2">
        <v>4.2229999999999999</v>
      </c>
      <c r="M12" s="2">
        <v>0.14699999999999999</v>
      </c>
    </row>
    <row r="13" spans="1:13" x14ac:dyDescent="0.3">
      <c r="A13" s="3">
        <v>1377</v>
      </c>
      <c r="B13" s="2">
        <v>0</v>
      </c>
      <c r="C13" s="2">
        <v>3.6999999999999998E-2</v>
      </c>
      <c r="D13" s="2">
        <v>0.223</v>
      </c>
      <c r="E13" s="2">
        <v>0.188</v>
      </c>
      <c r="F13" s="2">
        <v>2.2599999999999998</v>
      </c>
      <c r="G13" s="2">
        <v>5.0069999999999997</v>
      </c>
      <c r="H13" s="2">
        <v>3.2240000000000002</v>
      </c>
      <c r="I13" s="2">
        <v>2.82</v>
      </c>
      <c r="J13" s="2">
        <v>1.81</v>
      </c>
      <c r="K13" s="2">
        <v>1.5940000000000001</v>
      </c>
      <c r="L13" s="2">
        <v>0.95499999999999996</v>
      </c>
      <c r="M13" s="2">
        <v>0.53500000000000003</v>
      </c>
    </row>
    <row r="14" spans="1:13" x14ac:dyDescent="0.3">
      <c r="A14" s="3">
        <v>1378</v>
      </c>
      <c r="B14" s="2">
        <v>0</v>
      </c>
      <c r="C14" s="2">
        <v>6.0000000000000001E-3</v>
      </c>
      <c r="D14" s="2">
        <v>0.16800000000000001</v>
      </c>
      <c r="E14" s="2">
        <v>0.503</v>
      </c>
      <c r="F14" s="2">
        <v>11.858000000000001</v>
      </c>
      <c r="G14" s="2">
        <v>10.397</v>
      </c>
      <c r="H14" s="2">
        <v>4.077</v>
      </c>
      <c r="I14" s="2">
        <v>2.0960000000000001</v>
      </c>
      <c r="J14" s="2">
        <v>3.133</v>
      </c>
      <c r="K14" s="2">
        <v>3.9350000000000001</v>
      </c>
      <c r="L14" s="2">
        <v>0.4</v>
      </c>
      <c r="M14" s="2">
        <v>0</v>
      </c>
    </row>
    <row r="15" spans="1:13" x14ac:dyDescent="0.3">
      <c r="A15" s="3">
        <v>1379</v>
      </c>
      <c r="B15" s="2">
        <v>0</v>
      </c>
      <c r="C15" s="2">
        <v>0.13300000000000001</v>
      </c>
      <c r="D15" s="2">
        <v>0</v>
      </c>
      <c r="E15" s="2">
        <v>0.11799999999999999</v>
      </c>
      <c r="F15" s="2">
        <v>1.4510000000000001</v>
      </c>
      <c r="G15" s="2">
        <v>3.1819999999999999</v>
      </c>
      <c r="H15" s="2">
        <v>2.7080000000000002</v>
      </c>
      <c r="I15" s="2">
        <v>1.708</v>
      </c>
      <c r="J15" s="2">
        <v>1.917</v>
      </c>
      <c r="K15" s="2">
        <v>1.492</v>
      </c>
      <c r="L15" s="2">
        <v>0.89800000000000002</v>
      </c>
      <c r="M15" s="2">
        <v>3.2000000000000001E-2</v>
      </c>
    </row>
    <row r="16" spans="1:13" x14ac:dyDescent="0.3">
      <c r="A16" s="3">
        <v>1380</v>
      </c>
      <c r="B16" s="2">
        <v>1.4999999999999999E-2</v>
      </c>
      <c r="C16" s="2">
        <v>8.5999999999999993E-2</v>
      </c>
      <c r="D16" s="2">
        <v>0.27500000000000002</v>
      </c>
      <c r="E16" s="2">
        <v>2.3359999999999999</v>
      </c>
      <c r="F16" s="2">
        <v>13.839</v>
      </c>
      <c r="G16" s="2">
        <v>17.971</v>
      </c>
      <c r="H16" s="2">
        <v>5.1280000000000001</v>
      </c>
      <c r="I16" s="2">
        <v>2.5329999999999999</v>
      </c>
      <c r="J16" s="2">
        <v>3.1349999999999998</v>
      </c>
      <c r="K16" s="2">
        <v>1.917</v>
      </c>
      <c r="L16" s="2">
        <v>1.0840000000000001</v>
      </c>
      <c r="M16" s="2">
        <v>0</v>
      </c>
    </row>
    <row r="17" spans="1:13" x14ac:dyDescent="0.3">
      <c r="A17" s="3">
        <v>1381</v>
      </c>
      <c r="B17" s="2">
        <v>0.58399999999999996</v>
      </c>
      <c r="C17" s="2">
        <v>1.0449999999999999</v>
      </c>
      <c r="D17" s="2">
        <v>3.3809999999999998</v>
      </c>
      <c r="E17" s="2">
        <v>16.265000000000001</v>
      </c>
      <c r="F17" s="2">
        <v>63.697000000000003</v>
      </c>
      <c r="G17" s="2">
        <v>88.135999999999996</v>
      </c>
      <c r="H17" s="2">
        <v>16.923999999999999</v>
      </c>
      <c r="I17" s="2">
        <v>3.41</v>
      </c>
      <c r="J17" s="2">
        <v>2.63</v>
      </c>
      <c r="K17" s="2">
        <v>2.0030000000000001</v>
      </c>
      <c r="L17" s="2">
        <v>1.127</v>
      </c>
      <c r="M17" s="2">
        <v>0.28699999999999998</v>
      </c>
    </row>
    <row r="18" spans="1:13" x14ac:dyDescent="0.3">
      <c r="A18" s="3">
        <v>1382</v>
      </c>
      <c r="B18" s="2">
        <v>0.1</v>
      </c>
      <c r="C18" s="2">
        <v>0.38700000000000001</v>
      </c>
      <c r="D18" s="2">
        <v>1.8320000000000001</v>
      </c>
      <c r="E18" s="2">
        <v>14.093999999999999</v>
      </c>
      <c r="F18" s="2">
        <v>34.451999999999998</v>
      </c>
      <c r="G18" s="2">
        <v>22.684000000000001</v>
      </c>
      <c r="H18" s="2">
        <v>24.166</v>
      </c>
      <c r="I18" s="2">
        <v>4.3970000000000002</v>
      </c>
      <c r="J18" s="2">
        <v>4.09</v>
      </c>
      <c r="K18" s="2">
        <v>3.51</v>
      </c>
      <c r="L18" s="2">
        <v>2.5099999999999998</v>
      </c>
      <c r="M18" s="2">
        <v>1.2070000000000001</v>
      </c>
    </row>
    <row r="19" spans="1:13" x14ac:dyDescent="0.3">
      <c r="A19" s="3">
        <v>1383</v>
      </c>
      <c r="B19" s="2">
        <v>0.14199999999999999</v>
      </c>
      <c r="C19" s="2">
        <v>0.33900000000000002</v>
      </c>
      <c r="D19" s="2">
        <v>0.74199999999999999</v>
      </c>
      <c r="E19" s="2">
        <v>2.952</v>
      </c>
      <c r="F19" s="2">
        <v>25.384</v>
      </c>
      <c r="G19" s="2">
        <v>46.561</v>
      </c>
      <c r="H19" s="2">
        <v>24.555</v>
      </c>
      <c r="I19" s="2">
        <v>5.1029999999999998</v>
      </c>
      <c r="J19" s="2">
        <v>3.2469999999999999</v>
      </c>
      <c r="K19" s="2">
        <v>5.08</v>
      </c>
      <c r="L19" s="2">
        <v>4.41</v>
      </c>
      <c r="M19" s="2">
        <v>0.26</v>
      </c>
    </row>
    <row r="20" spans="1:13" x14ac:dyDescent="0.3">
      <c r="A20" s="3">
        <v>1384</v>
      </c>
      <c r="B20" s="2">
        <v>7.1999999999999995E-2</v>
      </c>
      <c r="C20" s="2">
        <v>0.17199999999999999</v>
      </c>
      <c r="D20" s="2">
        <v>0.59699999999999998</v>
      </c>
      <c r="E20" s="2">
        <v>2.7509999999999999</v>
      </c>
      <c r="F20" s="2">
        <v>22.51</v>
      </c>
      <c r="G20" s="2">
        <v>20.641999999999999</v>
      </c>
      <c r="H20" s="2">
        <v>14.294</v>
      </c>
      <c r="I20" s="2">
        <v>8.3979999999999997</v>
      </c>
      <c r="J20" s="2">
        <v>1.288</v>
      </c>
      <c r="K20" s="2">
        <v>1.1890000000000001</v>
      </c>
      <c r="L20" s="2">
        <v>1.0940000000000001</v>
      </c>
      <c r="M20" s="2">
        <v>0.82299999999999995</v>
      </c>
    </row>
    <row r="21" spans="1:13" x14ac:dyDescent="0.3">
      <c r="A21" s="3">
        <v>1385</v>
      </c>
      <c r="B21" s="2">
        <v>0.76900000000000002</v>
      </c>
      <c r="C21" s="2">
        <v>0.30099999999999999</v>
      </c>
      <c r="D21" s="2">
        <v>0.72899999999999998</v>
      </c>
      <c r="E21" s="2">
        <v>4.26</v>
      </c>
      <c r="F21" s="2">
        <v>35.067999999999998</v>
      </c>
      <c r="G21" s="2">
        <v>24.172999999999998</v>
      </c>
      <c r="H21" s="2">
        <v>3.9609999999999999</v>
      </c>
      <c r="I21" s="2">
        <v>3.097</v>
      </c>
      <c r="J21" s="2">
        <v>2.4769999999999999</v>
      </c>
      <c r="K21" s="2">
        <v>2.17</v>
      </c>
      <c r="L21" s="2">
        <v>4.556</v>
      </c>
      <c r="M21" s="2">
        <v>0.96599999999999997</v>
      </c>
    </row>
    <row r="22" spans="1:13" x14ac:dyDescent="0.3">
      <c r="A22" s="3">
        <v>1386</v>
      </c>
      <c r="B22" s="2">
        <v>0.48899999999999999</v>
      </c>
      <c r="C22" s="2">
        <v>0</v>
      </c>
      <c r="D22" s="2">
        <v>1.0999999999999999E-2</v>
      </c>
      <c r="E22" s="2">
        <v>0.30099999999999999</v>
      </c>
      <c r="F22" s="2">
        <v>2.2320000000000002</v>
      </c>
      <c r="G22" s="2">
        <v>9.6969999999999992</v>
      </c>
      <c r="H22" s="2">
        <v>6.6050000000000004</v>
      </c>
      <c r="I22" s="2">
        <v>2.2050000000000001</v>
      </c>
      <c r="J22" s="2">
        <v>1.9990000000000001</v>
      </c>
      <c r="K22" s="2">
        <v>1.69</v>
      </c>
      <c r="L22" s="2">
        <v>0.65</v>
      </c>
      <c r="M22" s="2">
        <v>0.26300000000000001</v>
      </c>
    </row>
    <row r="23" spans="1:13" x14ac:dyDescent="0.3">
      <c r="A23" s="3">
        <v>1387</v>
      </c>
      <c r="B23" s="2">
        <v>0</v>
      </c>
      <c r="C23" s="2">
        <v>0.27600000000000002</v>
      </c>
      <c r="D23" s="2">
        <v>0.40600000000000003</v>
      </c>
      <c r="E23" s="2">
        <v>1.6930000000000001</v>
      </c>
      <c r="F23" s="2">
        <v>7.774</v>
      </c>
      <c r="G23" s="2">
        <v>7.1539999999999999</v>
      </c>
      <c r="H23" s="2">
        <v>3.2930000000000001</v>
      </c>
      <c r="I23" s="2">
        <v>2.4929999999999999</v>
      </c>
      <c r="J23" s="2">
        <v>1.6839999999999999</v>
      </c>
      <c r="K23" s="2">
        <v>1.349</v>
      </c>
      <c r="L23" s="2">
        <v>0.94899999999999995</v>
      </c>
      <c r="M23" s="2">
        <v>0</v>
      </c>
    </row>
    <row r="24" spans="1:13" x14ac:dyDescent="0.3">
      <c r="A24" s="3">
        <v>1388</v>
      </c>
      <c r="B24" s="2">
        <v>0</v>
      </c>
      <c r="C24" s="2">
        <v>1.2E-2</v>
      </c>
      <c r="D24" s="2">
        <v>0.55300000000000005</v>
      </c>
      <c r="E24" s="2">
        <v>3.9020000000000001</v>
      </c>
      <c r="F24" s="2">
        <v>32.529000000000003</v>
      </c>
      <c r="G24" s="2">
        <v>17.161000000000001</v>
      </c>
      <c r="H24" s="2">
        <v>18.062000000000001</v>
      </c>
      <c r="I24" s="2">
        <v>6.0919999999999996</v>
      </c>
      <c r="J24" s="2">
        <v>4.1680000000000001</v>
      </c>
      <c r="K24" s="2">
        <v>3.6619999999999999</v>
      </c>
      <c r="L24" s="2">
        <v>4.351</v>
      </c>
      <c r="M24" s="2">
        <v>0.95599999999999996</v>
      </c>
    </row>
    <row r="25" spans="1:13" x14ac:dyDescent="0.3">
      <c r="A25" s="3">
        <v>1389</v>
      </c>
      <c r="B25" s="2">
        <v>0.31900000000000001</v>
      </c>
      <c r="C25" s="2">
        <v>0.104</v>
      </c>
      <c r="D25" s="2">
        <v>0.90600000000000003</v>
      </c>
      <c r="E25" s="2">
        <v>2.95</v>
      </c>
      <c r="F25" s="2">
        <v>30.065000000000001</v>
      </c>
      <c r="G25" s="2">
        <v>14.228</v>
      </c>
      <c r="H25" s="2">
        <v>8.9459999999999997</v>
      </c>
      <c r="I25" s="2">
        <v>8.7129999999999992</v>
      </c>
      <c r="J25" s="2">
        <v>5.2510000000000003</v>
      </c>
      <c r="K25" s="2">
        <v>2.4980000000000002</v>
      </c>
      <c r="L25" s="2">
        <v>0.82499999999999996</v>
      </c>
      <c r="M25" s="2">
        <v>0.14599999999999999</v>
      </c>
    </row>
    <row r="26" spans="1:13" x14ac:dyDescent="0.3">
      <c r="A26" s="3">
        <v>1390</v>
      </c>
      <c r="B26" s="2">
        <v>0</v>
      </c>
      <c r="C26" s="2">
        <v>0.114</v>
      </c>
      <c r="D26" s="2">
        <v>0.53200000000000003</v>
      </c>
      <c r="E26" s="2">
        <v>3.4849999999999999</v>
      </c>
      <c r="F26" s="2">
        <v>44.529000000000003</v>
      </c>
      <c r="G26" s="2">
        <v>48.036999999999999</v>
      </c>
      <c r="H26" s="2">
        <v>5.9790000000000001</v>
      </c>
      <c r="I26" s="2">
        <v>3.78</v>
      </c>
      <c r="J26" s="2">
        <v>3.2160000000000002</v>
      </c>
      <c r="K26" s="2">
        <v>2.331</v>
      </c>
      <c r="L26" s="2">
        <v>1.9530000000000001</v>
      </c>
      <c r="M26" s="2">
        <v>0.193</v>
      </c>
    </row>
    <row r="27" spans="1:13" x14ac:dyDescent="0.3">
      <c r="A27" s="4">
        <v>1391</v>
      </c>
      <c r="B27" s="1">
        <v>0</v>
      </c>
      <c r="C27" s="1">
        <v>3.0000000000000001E-3</v>
      </c>
      <c r="D27" s="1">
        <v>0.19800000000000001</v>
      </c>
      <c r="E27" s="1">
        <v>2.4769999999999999</v>
      </c>
      <c r="F27" s="1">
        <v>7.6369999999999996</v>
      </c>
      <c r="G27" s="1">
        <v>17.474</v>
      </c>
      <c r="H27" s="1">
        <v>8.8230000000000004</v>
      </c>
      <c r="I27" s="1">
        <v>4.5579999999999998</v>
      </c>
      <c r="J27" s="1">
        <v>4.9400000000000004</v>
      </c>
      <c r="K27" s="1">
        <v>4.2869999999999999</v>
      </c>
      <c r="L27" s="1">
        <v>4.5449999999999999</v>
      </c>
      <c r="M27" s="1">
        <v>0.56699999999999995</v>
      </c>
    </row>
    <row r="28" spans="1:13" x14ac:dyDescent="0.3">
      <c r="A28" s="4">
        <v>1392</v>
      </c>
      <c r="B28" s="1">
        <v>0</v>
      </c>
      <c r="C28" s="1">
        <v>0</v>
      </c>
      <c r="D28" s="1">
        <v>0.85499999999999998</v>
      </c>
      <c r="E28" s="1">
        <v>0.70399999999999996</v>
      </c>
      <c r="F28" s="1">
        <v>6.3070000000000004</v>
      </c>
      <c r="G28" s="1">
        <v>5.0869999999999997</v>
      </c>
      <c r="H28" s="1">
        <v>4.4749999999999996</v>
      </c>
      <c r="I28" s="1">
        <v>4.1159999999999997</v>
      </c>
      <c r="J28" s="1">
        <v>3.7</v>
      </c>
      <c r="K28" s="1">
        <v>1.87</v>
      </c>
      <c r="L28" s="1">
        <v>0.28899999999999998</v>
      </c>
      <c r="M28" s="1">
        <v>9.4E-2</v>
      </c>
    </row>
    <row r="29" spans="1:13" x14ac:dyDescent="0.3">
      <c r="A29" s="4">
        <v>1393</v>
      </c>
      <c r="B29" s="1">
        <v>0.44400000000000001</v>
      </c>
      <c r="C29" s="1">
        <v>0.151</v>
      </c>
      <c r="D29" s="1">
        <v>0</v>
      </c>
      <c r="E29" s="1">
        <v>0.64500000000000002</v>
      </c>
      <c r="F29" s="1">
        <v>4.5369999999999999</v>
      </c>
      <c r="G29" s="1">
        <v>10.88</v>
      </c>
      <c r="H29" s="1">
        <v>7.5270000000000001</v>
      </c>
      <c r="I29" s="1">
        <v>6.2720000000000002</v>
      </c>
      <c r="J29" s="1">
        <v>5.1070000000000002</v>
      </c>
      <c r="K29" s="1">
        <v>5.5620000000000003</v>
      </c>
      <c r="L29" s="1">
        <v>1.431</v>
      </c>
      <c r="M29" s="1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0319-407D-4076-B452-850D0BCB0AB3}">
  <dimension ref="A1:M29"/>
  <sheetViews>
    <sheetView topLeftCell="A13" workbookViewId="0">
      <selection activeCell="E34" sqref="E34"/>
    </sheetView>
  </sheetViews>
  <sheetFormatPr defaultRowHeight="14.4" x14ac:dyDescent="0.3"/>
  <cols>
    <col min="1" max="1" width="9.5546875" bestFit="1" customWidth="1"/>
    <col min="2" max="13" width="9" bestFit="1" customWidth="1"/>
  </cols>
  <sheetData>
    <row r="1" spans="1:13" x14ac:dyDescent="0.3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s="3">
        <v>1366</v>
      </c>
      <c r="B2" s="2">
        <v>0.93400000000000005</v>
      </c>
      <c r="C2" s="2">
        <v>1.1930000000000001</v>
      </c>
      <c r="D2" s="2">
        <v>3.6</v>
      </c>
      <c r="E2" s="2">
        <v>11.930999999999999</v>
      </c>
      <c r="F2" s="2">
        <v>36.340000000000003</v>
      </c>
      <c r="G2" s="2">
        <v>43.624000000000002</v>
      </c>
      <c r="H2" s="2">
        <v>35.813000000000002</v>
      </c>
      <c r="I2" s="2">
        <v>12.69</v>
      </c>
      <c r="J2" s="2">
        <v>11.311</v>
      </c>
      <c r="K2" s="2">
        <v>5.8079999999999998</v>
      </c>
      <c r="L2" s="2">
        <v>5.1079999999999997</v>
      </c>
      <c r="M2" s="2">
        <v>1.05</v>
      </c>
    </row>
    <row r="3" spans="1:13" x14ac:dyDescent="0.3">
      <c r="A3" s="3">
        <v>1367</v>
      </c>
      <c r="B3" s="2">
        <v>1.2E-2</v>
      </c>
      <c r="C3" s="2">
        <v>0.04</v>
      </c>
      <c r="D3" s="2">
        <v>0.432</v>
      </c>
      <c r="E3" s="2">
        <v>3.1230000000000002</v>
      </c>
      <c r="F3" s="2">
        <v>14.348000000000001</v>
      </c>
      <c r="G3" s="2">
        <v>26.216999999999999</v>
      </c>
      <c r="H3" s="2">
        <v>19.251999999999999</v>
      </c>
      <c r="I3" s="2">
        <v>2.6469999999999998</v>
      </c>
      <c r="J3" s="2">
        <v>5.234</v>
      </c>
      <c r="K3" s="2">
        <v>4.0339999999999998</v>
      </c>
      <c r="L3" s="2">
        <v>2.0830000000000002</v>
      </c>
      <c r="M3" s="2">
        <v>0.59699999999999998</v>
      </c>
    </row>
    <row r="4" spans="1:13" x14ac:dyDescent="0.3">
      <c r="A4" s="3">
        <v>1368</v>
      </c>
      <c r="B4" s="2">
        <v>1.2999999999999999E-2</v>
      </c>
      <c r="C4" s="2">
        <v>3.5000000000000003E-2</v>
      </c>
      <c r="D4" s="2">
        <v>0.96099999999999997</v>
      </c>
      <c r="E4" s="2">
        <v>3.0350000000000001</v>
      </c>
      <c r="F4" s="2">
        <v>20.594000000000001</v>
      </c>
      <c r="G4" s="2">
        <v>25.318000000000001</v>
      </c>
      <c r="H4" s="2">
        <v>11.760999999999999</v>
      </c>
      <c r="I4" s="2">
        <v>2.7530000000000001</v>
      </c>
      <c r="J4" s="2">
        <v>2.6859999999999999</v>
      </c>
      <c r="K4" s="2">
        <v>2.5529999999999999</v>
      </c>
      <c r="L4" s="2">
        <v>3.6440000000000001</v>
      </c>
      <c r="M4" s="2">
        <v>3.0000000000000001E-3</v>
      </c>
    </row>
    <row r="5" spans="1:13" x14ac:dyDescent="0.3">
      <c r="A5" s="3">
        <v>1369</v>
      </c>
      <c r="B5" s="2">
        <v>6.0000000000000001E-3</v>
      </c>
      <c r="C5" s="2">
        <v>0.434</v>
      </c>
      <c r="D5" s="2">
        <v>1.0660000000000001</v>
      </c>
      <c r="E5" s="2">
        <v>2.355</v>
      </c>
      <c r="F5" s="2">
        <v>13.573</v>
      </c>
      <c r="G5" s="2">
        <v>32.286999999999999</v>
      </c>
      <c r="H5" s="2">
        <v>16.12</v>
      </c>
      <c r="I5" s="2">
        <v>1.34</v>
      </c>
      <c r="J5" s="2">
        <v>0.73</v>
      </c>
      <c r="K5" s="2">
        <v>1.028</v>
      </c>
      <c r="L5" s="2">
        <v>0.42299999999999999</v>
      </c>
      <c r="M5" s="2">
        <v>0.32800000000000001</v>
      </c>
    </row>
    <row r="6" spans="1:13" x14ac:dyDescent="0.3">
      <c r="A6" s="3">
        <v>1370</v>
      </c>
      <c r="B6" s="2">
        <v>0.56399999999999995</v>
      </c>
      <c r="C6" s="2">
        <v>1.006</v>
      </c>
      <c r="D6" s="2">
        <v>4.1050000000000004</v>
      </c>
      <c r="E6" s="2">
        <v>30.864999999999998</v>
      </c>
      <c r="F6" s="2">
        <v>89.432000000000002</v>
      </c>
      <c r="G6" s="2">
        <v>59.787999999999997</v>
      </c>
      <c r="H6" s="2">
        <v>9.0879999999999992</v>
      </c>
      <c r="I6" s="2">
        <v>2.5779999999999998</v>
      </c>
      <c r="J6" s="2">
        <v>2.548</v>
      </c>
      <c r="K6" s="2">
        <v>5.0750000000000002</v>
      </c>
      <c r="L6" s="2">
        <v>0.64</v>
      </c>
      <c r="M6" s="2">
        <v>0.4</v>
      </c>
    </row>
    <row r="7" spans="1:13" x14ac:dyDescent="0.3">
      <c r="A7" s="3">
        <v>1371</v>
      </c>
      <c r="B7" s="2">
        <v>0.24399999999999999</v>
      </c>
      <c r="C7" s="2">
        <v>0.39900000000000002</v>
      </c>
      <c r="D7" s="2">
        <v>0.92500000000000004</v>
      </c>
      <c r="E7" s="2">
        <v>9.5470000000000006</v>
      </c>
      <c r="F7" s="2">
        <v>30.007999999999999</v>
      </c>
      <c r="G7" s="2">
        <v>32.484999999999999</v>
      </c>
      <c r="H7" s="2">
        <v>14.231</v>
      </c>
      <c r="I7" s="2">
        <v>1.643</v>
      </c>
      <c r="J7" s="2">
        <v>1.7829999999999999</v>
      </c>
      <c r="K7" s="2">
        <v>1.3080000000000001</v>
      </c>
      <c r="L7" s="2">
        <v>1.431</v>
      </c>
      <c r="M7" s="2">
        <v>0.49399999999999999</v>
      </c>
    </row>
    <row r="8" spans="1:13" x14ac:dyDescent="0.3">
      <c r="A8" s="3">
        <v>1372</v>
      </c>
      <c r="B8" s="2">
        <v>0.14000000000000001</v>
      </c>
      <c r="C8" s="2">
        <v>0.497</v>
      </c>
      <c r="D8" s="2">
        <v>1.141</v>
      </c>
      <c r="E8" s="2">
        <v>3.7589999999999999</v>
      </c>
      <c r="F8" s="2">
        <v>32.387999999999998</v>
      </c>
      <c r="G8" s="2">
        <v>42.597999999999999</v>
      </c>
      <c r="H8" s="2">
        <v>24.388000000000002</v>
      </c>
      <c r="I8" s="2">
        <v>14.45</v>
      </c>
      <c r="J8" s="2">
        <v>31.704000000000001</v>
      </c>
      <c r="K8" s="2">
        <v>24.556999999999999</v>
      </c>
      <c r="L8" s="2">
        <v>12.878</v>
      </c>
      <c r="M8" s="2">
        <v>0.183</v>
      </c>
    </row>
    <row r="9" spans="1:13" x14ac:dyDescent="0.3">
      <c r="A9" s="3">
        <v>1373</v>
      </c>
      <c r="B9" s="2">
        <v>0.20300000000000001</v>
      </c>
      <c r="C9" s="2">
        <v>0.373</v>
      </c>
      <c r="D9" s="2">
        <v>1.776</v>
      </c>
      <c r="E9" s="2">
        <v>8.14</v>
      </c>
      <c r="F9" s="2">
        <v>25.594000000000001</v>
      </c>
      <c r="G9" s="2">
        <v>23.129000000000001</v>
      </c>
      <c r="H9" s="2">
        <v>7.883</v>
      </c>
      <c r="I9" s="2">
        <v>7.0359999999999996</v>
      </c>
      <c r="J9" s="2">
        <v>7.1449999999999996</v>
      </c>
      <c r="K9" s="2">
        <v>7.133</v>
      </c>
      <c r="L9" s="2">
        <v>12.452999999999999</v>
      </c>
      <c r="M9" s="2">
        <v>0.192</v>
      </c>
    </row>
    <row r="10" spans="1:13" x14ac:dyDescent="0.3">
      <c r="A10" s="3">
        <v>1374</v>
      </c>
      <c r="B10" s="2">
        <v>7.3999999999999996E-2</v>
      </c>
      <c r="C10" s="2">
        <v>0.34</v>
      </c>
      <c r="D10" s="2">
        <v>1.0309999999999999</v>
      </c>
      <c r="E10" s="2">
        <v>13.036</v>
      </c>
      <c r="F10" s="2">
        <v>48.661000000000001</v>
      </c>
      <c r="G10" s="2">
        <v>33.036999999999999</v>
      </c>
      <c r="H10" s="2">
        <v>9.6850000000000005</v>
      </c>
      <c r="I10" s="2">
        <v>4.97</v>
      </c>
      <c r="J10" s="2">
        <v>0.92100000000000004</v>
      </c>
      <c r="K10" s="2">
        <v>0.40300000000000002</v>
      </c>
      <c r="L10" s="2">
        <v>0.23699999999999999</v>
      </c>
      <c r="M10" s="2">
        <v>0.2</v>
      </c>
    </row>
    <row r="11" spans="1:13" x14ac:dyDescent="0.3">
      <c r="A11" s="3">
        <v>1375</v>
      </c>
      <c r="B11" s="2">
        <v>0.03</v>
      </c>
      <c r="C11" s="2">
        <v>0.154</v>
      </c>
      <c r="D11" s="2">
        <v>1.3129999999999999</v>
      </c>
      <c r="E11" s="2">
        <v>8.9359999999999999</v>
      </c>
      <c r="F11" s="2">
        <v>33.426000000000002</v>
      </c>
      <c r="G11" s="2">
        <v>30.189</v>
      </c>
      <c r="H11" s="2">
        <v>3.7829999999999999</v>
      </c>
      <c r="I11" s="2">
        <v>2.6</v>
      </c>
      <c r="J11" s="2">
        <v>1.716</v>
      </c>
      <c r="K11" s="2">
        <v>1.2190000000000001</v>
      </c>
      <c r="L11" s="2">
        <v>0.57899999999999996</v>
      </c>
      <c r="M11" s="2">
        <v>8.7999999999999995E-2</v>
      </c>
    </row>
    <row r="12" spans="1:13" x14ac:dyDescent="0.3">
      <c r="A12" s="3">
        <v>1376</v>
      </c>
      <c r="B12" s="2">
        <v>7.9000000000000001E-2</v>
      </c>
      <c r="C12" s="2">
        <v>0.27500000000000002</v>
      </c>
      <c r="D12" s="2">
        <v>0.65900000000000003</v>
      </c>
      <c r="E12" s="2">
        <v>2.6829999999999998</v>
      </c>
      <c r="F12" s="2">
        <v>27.353000000000002</v>
      </c>
      <c r="G12" s="2">
        <v>51.631999999999998</v>
      </c>
      <c r="H12" s="2">
        <v>16.931999999999999</v>
      </c>
      <c r="I12" s="2">
        <v>5.9850000000000003</v>
      </c>
      <c r="J12" s="2">
        <v>1.968</v>
      </c>
      <c r="K12" s="2">
        <v>1.571</v>
      </c>
      <c r="L12" s="2">
        <v>2.5430000000000001</v>
      </c>
      <c r="M12" s="2">
        <v>0.42299999999999999</v>
      </c>
    </row>
    <row r="13" spans="1:13" x14ac:dyDescent="0.3">
      <c r="A13" s="3">
        <v>1377</v>
      </c>
      <c r="B13" s="2">
        <v>0</v>
      </c>
      <c r="C13" s="2">
        <v>0.56799999999999995</v>
      </c>
      <c r="D13" s="2">
        <v>4.9000000000000002E-2</v>
      </c>
      <c r="E13" s="2">
        <v>0.56000000000000005</v>
      </c>
      <c r="F13" s="2">
        <v>2.2349999999999999</v>
      </c>
      <c r="G13" s="2">
        <v>4.2830000000000004</v>
      </c>
      <c r="H13" s="2">
        <v>2.242</v>
      </c>
      <c r="I13" s="2">
        <v>1.6020000000000001</v>
      </c>
      <c r="J13" s="2">
        <v>1.5580000000000001</v>
      </c>
      <c r="K13" s="2">
        <v>1.238</v>
      </c>
      <c r="L13" s="2">
        <v>0.78900000000000003</v>
      </c>
      <c r="M13" s="2">
        <v>0.156</v>
      </c>
    </row>
    <row r="14" spans="1:13" x14ac:dyDescent="0.3">
      <c r="A14" s="3">
        <v>1378</v>
      </c>
      <c r="B14" s="2">
        <v>0</v>
      </c>
      <c r="C14" s="2">
        <v>1.2E-2</v>
      </c>
      <c r="D14" s="2">
        <v>0.13400000000000001</v>
      </c>
      <c r="E14" s="2">
        <v>1.359</v>
      </c>
      <c r="F14" s="2">
        <v>8.6329999999999991</v>
      </c>
      <c r="G14" s="2">
        <v>19.960999999999999</v>
      </c>
      <c r="H14" s="2">
        <v>3.9409999999999998</v>
      </c>
      <c r="I14" s="2">
        <v>2.44</v>
      </c>
      <c r="J14" s="2">
        <v>1.056</v>
      </c>
      <c r="K14" s="2">
        <v>0.77</v>
      </c>
      <c r="L14" s="2">
        <v>6.4000000000000001E-2</v>
      </c>
      <c r="M14" s="2">
        <v>6.0000000000000001E-3</v>
      </c>
    </row>
    <row r="15" spans="1:13" x14ac:dyDescent="0.3">
      <c r="A15" s="3">
        <v>1379</v>
      </c>
      <c r="B15" s="2">
        <v>0</v>
      </c>
      <c r="C15" s="2">
        <v>0</v>
      </c>
      <c r="D15" s="2">
        <v>9.7000000000000003E-2</v>
      </c>
      <c r="E15" s="2">
        <v>1.6339999999999999</v>
      </c>
      <c r="F15" s="2">
        <v>6.3819999999999997</v>
      </c>
      <c r="G15" s="2">
        <v>12.523</v>
      </c>
      <c r="H15" s="2">
        <v>7.4729999999999999</v>
      </c>
      <c r="I15" s="2">
        <v>1.8740000000000001</v>
      </c>
      <c r="J15" s="2">
        <v>0.96599999999999997</v>
      </c>
      <c r="K15" s="2">
        <v>9.6000000000000002E-2</v>
      </c>
      <c r="L15" s="2">
        <v>0</v>
      </c>
      <c r="M15" s="2">
        <v>0</v>
      </c>
    </row>
    <row r="16" spans="1:13" x14ac:dyDescent="0.3">
      <c r="A16" s="3">
        <v>1380</v>
      </c>
      <c r="B16" s="2">
        <v>2.8000000000000001E-2</v>
      </c>
      <c r="C16" s="2">
        <v>0.217</v>
      </c>
      <c r="D16" s="2">
        <v>1.224</v>
      </c>
      <c r="E16" s="2">
        <v>11.49</v>
      </c>
      <c r="F16" s="2">
        <v>28.303000000000001</v>
      </c>
      <c r="G16" s="2">
        <v>36.195999999999998</v>
      </c>
      <c r="H16" s="2">
        <v>14.632999999999999</v>
      </c>
      <c r="I16" s="2">
        <v>7.5919999999999996</v>
      </c>
      <c r="J16" s="2">
        <v>13.21</v>
      </c>
      <c r="K16" s="2">
        <v>2.3879999999999999</v>
      </c>
      <c r="L16" s="2">
        <v>0.02</v>
      </c>
      <c r="M16" s="2">
        <v>0</v>
      </c>
    </row>
    <row r="17" spans="1:13" x14ac:dyDescent="0.3">
      <c r="A17" s="3">
        <v>1381</v>
      </c>
      <c r="B17" s="2">
        <v>0.19</v>
      </c>
      <c r="C17" s="2">
        <v>0.66500000000000004</v>
      </c>
      <c r="D17" s="2">
        <v>2.7029999999999998</v>
      </c>
      <c r="E17" s="2">
        <v>9.5969999999999995</v>
      </c>
      <c r="F17" s="2">
        <v>36.700000000000003</v>
      </c>
      <c r="G17" s="2">
        <v>79.926000000000002</v>
      </c>
      <c r="H17" s="2">
        <v>44.472000000000001</v>
      </c>
      <c r="I17" s="2">
        <v>11.122999999999999</v>
      </c>
      <c r="J17" s="2">
        <v>5.617</v>
      </c>
      <c r="K17" s="2">
        <v>4.1870000000000003</v>
      </c>
      <c r="L17" s="2">
        <v>0.26700000000000002</v>
      </c>
      <c r="M17" s="2">
        <v>0.123</v>
      </c>
    </row>
    <row r="18" spans="1:13" x14ac:dyDescent="0.3">
      <c r="A18" s="3">
        <v>1382</v>
      </c>
      <c r="B18" s="2">
        <v>4.2000000000000003E-2</v>
      </c>
      <c r="C18" s="2">
        <v>0.27400000000000002</v>
      </c>
      <c r="D18" s="2">
        <v>1.629</v>
      </c>
      <c r="E18" s="2">
        <v>9.4610000000000003</v>
      </c>
      <c r="F18" s="2">
        <v>37.823</v>
      </c>
      <c r="G18" s="2">
        <v>19.754999999999999</v>
      </c>
      <c r="H18" s="2">
        <v>33.271999999999998</v>
      </c>
      <c r="I18" s="2">
        <v>9.4130000000000003</v>
      </c>
      <c r="J18" s="2">
        <v>4.9669999999999996</v>
      </c>
      <c r="K18" s="2">
        <v>2.77</v>
      </c>
      <c r="L18" s="2">
        <v>1.6830000000000001</v>
      </c>
      <c r="M18" s="2">
        <v>0.47299999999999998</v>
      </c>
    </row>
    <row r="19" spans="1:13" x14ac:dyDescent="0.3">
      <c r="A19" s="3">
        <v>1383</v>
      </c>
      <c r="B19" s="2">
        <v>0.16800000000000001</v>
      </c>
      <c r="C19" s="2">
        <v>14.961</v>
      </c>
      <c r="D19" s="2">
        <v>0.85199999999999998</v>
      </c>
      <c r="E19" s="2">
        <v>5.99</v>
      </c>
      <c r="F19" s="2">
        <v>20.283999999999999</v>
      </c>
      <c r="G19" s="2">
        <v>45.597000000000001</v>
      </c>
      <c r="H19" s="2">
        <v>63.179000000000002</v>
      </c>
      <c r="I19" s="2">
        <v>6.58</v>
      </c>
      <c r="J19" s="2">
        <v>4.99</v>
      </c>
      <c r="K19" s="2">
        <v>10.083</v>
      </c>
      <c r="L19" s="2">
        <v>8.4</v>
      </c>
      <c r="M19" s="2">
        <v>0.18</v>
      </c>
    </row>
    <row r="20" spans="1:13" x14ac:dyDescent="0.3">
      <c r="A20" s="3">
        <v>1384</v>
      </c>
      <c r="B20" s="2">
        <v>0.191</v>
      </c>
      <c r="C20" s="2">
        <v>0.82399999999999995</v>
      </c>
      <c r="D20" s="2">
        <v>1.4870000000000001</v>
      </c>
      <c r="E20" s="2">
        <v>5.468</v>
      </c>
      <c r="F20" s="2">
        <v>20.378</v>
      </c>
      <c r="G20" s="2">
        <v>21.79</v>
      </c>
      <c r="H20" s="2">
        <v>32.859000000000002</v>
      </c>
      <c r="I20" s="2">
        <v>27.695</v>
      </c>
      <c r="J20" s="2">
        <v>1.1990000000000001</v>
      </c>
      <c r="K20" s="2">
        <v>0.65100000000000002</v>
      </c>
      <c r="L20" s="2">
        <v>0.47599999999999998</v>
      </c>
      <c r="M20" s="2">
        <v>1.4999999999999999E-2</v>
      </c>
    </row>
    <row r="21" spans="1:13" x14ac:dyDescent="0.3">
      <c r="A21" s="3">
        <v>1385</v>
      </c>
      <c r="B21" s="2">
        <v>0.16400000000000001</v>
      </c>
      <c r="C21" s="2">
        <v>0.41799999999999998</v>
      </c>
      <c r="D21" s="2">
        <v>1.8089999999999999</v>
      </c>
      <c r="E21" s="2">
        <v>6.5149999999999997</v>
      </c>
      <c r="F21" s="2">
        <v>45.155000000000001</v>
      </c>
      <c r="G21" s="2">
        <v>56.902999999999999</v>
      </c>
      <c r="H21" s="2">
        <v>12.551</v>
      </c>
      <c r="I21" s="2">
        <v>5.7160000000000002</v>
      </c>
      <c r="J21" s="2">
        <v>2.5110000000000001</v>
      </c>
      <c r="K21" s="2">
        <v>3.0070000000000001</v>
      </c>
      <c r="L21" s="2">
        <v>7.859</v>
      </c>
      <c r="M21" s="2">
        <v>2.5000000000000001E-2</v>
      </c>
    </row>
    <row r="22" spans="1:13" x14ac:dyDescent="0.3">
      <c r="A22" s="3">
        <v>1386</v>
      </c>
      <c r="B22" s="2">
        <v>0.19500000000000001</v>
      </c>
      <c r="C22" s="2">
        <v>1E-3</v>
      </c>
      <c r="D22" s="2">
        <v>0.17100000000000001</v>
      </c>
      <c r="E22" s="2">
        <v>0.82199999999999995</v>
      </c>
      <c r="F22" s="2">
        <v>4.4020000000000001</v>
      </c>
      <c r="G22" s="2">
        <v>23.379000000000001</v>
      </c>
      <c r="H22" s="2">
        <v>16.579000000000001</v>
      </c>
      <c r="I22" s="2">
        <v>1.4650000000000001</v>
      </c>
      <c r="J22" s="2">
        <v>1.4970000000000001</v>
      </c>
      <c r="K22" s="2">
        <v>2.3170000000000002</v>
      </c>
      <c r="L22" s="2">
        <v>0.65600000000000003</v>
      </c>
      <c r="M22" s="2">
        <v>1.054</v>
      </c>
    </row>
    <row r="23" spans="1:13" x14ac:dyDescent="0.3">
      <c r="A23" s="3">
        <v>1387</v>
      </c>
      <c r="B23" s="2">
        <v>0</v>
      </c>
      <c r="C23" s="2">
        <v>0</v>
      </c>
      <c r="D23" s="2">
        <v>0.151</v>
      </c>
      <c r="E23" s="2">
        <v>1.75</v>
      </c>
      <c r="F23" s="2">
        <v>11.375999999999999</v>
      </c>
      <c r="G23" s="2">
        <v>18.472999999999999</v>
      </c>
      <c r="H23" s="2">
        <v>9.4870000000000001</v>
      </c>
      <c r="I23" s="2">
        <v>3.0059999999999998</v>
      </c>
      <c r="J23" s="2">
        <v>1.2909999999999999</v>
      </c>
      <c r="K23" s="2">
        <v>1.2809999999999999</v>
      </c>
      <c r="L23" s="2">
        <v>0.58799999999999997</v>
      </c>
      <c r="M23" s="2">
        <v>0</v>
      </c>
    </row>
    <row r="24" spans="1:13" x14ac:dyDescent="0.3">
      <c r="A24" s="3">
        <v>1388</v>
      </c>
      <c r="B24" s="2">
        <v>0</v>
      </c>
      <c r="C24" s="2">
        <v>0</v>
      </c>
      <c r="D24" s="2">
        <v>0.47599999999999998</v>
      </c>
      <c r="E24" s="2">
        <v>4.1150000000000002</v>
      </c>
      <c r="F24" s="2">
        <v>14.144</v>
      </c>
      <c r="G24" s="2">
        <v>13.31</v>
      </c>
      <c r="H24" s="2">
        <v>13.004</v>
      </c>
      <c r="I24" s="2">
        <v>4.7949999999999999</v>
      </c>
      <c r="J24" s="2">
        <v>5.1520000000000001</v>
      </c>
      <c r="K24" s="2">
        <v>3.8879999999999999</v>
      </c>
      <c r="L24" s="2">
        <v>3.4870000000000001</v>
      </c>
      <c r="M24" s="2">
        <v>0</v>
      </c>
    </row>
    <row r="25" spans="1:13" x14ac:dyDescent="0.3">
      <c r="A25" s="3">
        <v>1389</v>
      </c>
      <c r="B25" s="2">
        <v>0</v>
      </c>
      <c r="C25" s="2">
        <v>0.115</v>
      </c>
      <c r="D25" s="2">
        <v>0.68300000000000005</v>
      </c>
      <c r="E25" s="2">
        <v>5.1269999999999998</v>
      </c>
      <c r="F25" s="2">
        <v>32.558</v>
      </c>
      <c r="G25" s="2">
        <v>15.916</v>
      </c>
      <c r="H25" s="2">
        <v>15.234</v>
      </c>
      <c r="I25" s="2">
        <v>4.0119999999999996</v>
      </c>
      <c r="J25" s="2">
        <v>1.6539999999999999</v>
      </c>
      <c r="K25" s="2">
        <v>0.83599999999999997</v>
      </c>
      <c r="L25" s="2">
        <v>0</v>
      </c>
      <c r="M25" s="2">
        <v>0</v>
      </c>
    </row>
    <row r="26" spans="1:13" x14ac:dyDescent="0.3">
      <c r="A26" s="3">
        <v>1390</v>
      </c>
      <c r="B26" s="2">
        <v>0</v>
      </c>
      <c r="C26" s="2">
        <v>1.1399999999999999</v>
      </c>
      <c r="D26" s="2">
        <v>2.6850000000000001</v>
      </c>
      <c r="E26" s="2">
        <v>5.6749999999999998</v>
      </c>
      <c r="F26" s="2">
        <v>33.494</v>
      </c>
      <c r="G26" s="2">
        <v>51.655000000000001</v>
      </c>
      <c r="H26" s="2">
        <v>11.928000000000001</v>
      </c>
      <c r="I26" s="2">
        <v>5.665</v>
      </c>
      <c r="J26" s="2">
        <v>3.532</v>
      </c>
      <c r="K26" s="2">
        <v>3.6819999999999999</v>
      </c>
      <c r="L26" s="2">
        <v>2.4849999999999999</v>
      </c>
      <c r="M26" s="2">
        <v>0</v>
      </c>
    </row>
    <row r="27" spans="1:13" x14ac:dyDescent="0.3">
      <c r="A27" s="4">
        <v>1391</v>
      </c>
      <c r="B27" s="1">
        <v>0</v>
      </c>
      <c r="C27" s="1">
        <v>0</v>
      </c>
      <c r="D27" s="1">
        <v>9.9000000000000005E-2</v>
      </c>
      <c r="E27" s="1">
        <v>1.772</v>
      </c>
      <c r="F27" s="1">
        <v>8.69</v>
      </c>
      <c r="G27" s="1">
        <v>16.193999999999999</v>
      </c>
      <c r="H27" s="1">
        <v>13.496</v>
      </c>
      <c r="I27" s="1">
        <v>13.006</v>
      </c>
      <c r="J27" s="1">
        <v>2.9849999999999999</v>
      </c>
      <c r="K27" s="1">
        <v>2.1819999999999999</v>
      </c>
      <c r="L27" s="1">
        <v>1.413</v>
      </c>
      <c r="M27" s="1">
        <v>0</v>
      </c>
    </row>
    <row r="28" spans="1:13" x14ac:dyDescent="0.3">
      <c r="A28" s="4">
        <v>1392</v>
      </c>
      <c r="B28" s="1">
        <v>0</v>
      </c>
      <c r="C28" s="1">
        <v>0</v>
      </c>
      <c r="D28" s="1">
        <v>0.35499999999999998</v>
      </c>
      <c r="E28" s="1">
        <v>1.367</v>
      </c>
      <c r="F28" s="1">
        <v>25.018999999999998</v>
      </c>
      <c r="G28" s="1">
        <v>41.802999999999997</v>
      </c>
      <c r="H28" s="1">
        <v>20.908000000000001</v>
      </c>
      <c r="I28" s="1">
        <v>5.0049999999999999</v>
      </c>
      <c r="J28" s="1">
        <v>2.3260000000000001</v>
      </c>
      <c r="K28" s="1">
        <v>4.3170000000000002</v>
      </c>
      <c r="L28" s="1">
        <v>7.0000000000000007E-2</v>
      </c>
      <c r="M28" s="1">
        <v>0</v>
      </c>
    </row>
    <row r="29" spans="1:13" x14ac:dyDescent="0.3">
      <c r="A29" s="4">
        <v>1393</v>
      </c>
      <c r="B29" s="1">
        <v>0</v>
      </c>
      <c r="C29" s="1">
        <v>0</v>
      </c>
      <c r="D29" s="1">
        <v>6.4000000000000001E-2</v>
      </c>
      <c r="E29" s="1">
        <v>1.4259999999999999</v>
      </c>
      <c r="F29" s="1">
        <v>9.9789999999999992</v>
      </c>
      <c r="G29" s="1">
        <v>27.338999999999999</v>
      </c>
      <c r="H29" s="1">
        <v>11.365</v>
      </c>
      <c r="I29" s="1">
        <v>11.458</v>
      </c>
      <c r="J29" s="1">
        <v>4.6539999999999999</v>
      </c>
      <c r="K29" s="1">
        <v>8.3019999999999996</v>
      </c>
      <c r="L29" s="1">
        <v>1.139</v>
      </c>
      <c r="M29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CDAE-F40E-46F4-A9FF-2FC60D040B16}">
  <dimension ref="A1:M29"/>
  <sheetViews>
    <sheetView topLeftCell="A13" workbookViewId="0">
      <selection activeCell="M26" sqref="M26:M29"/>
    </sheetView>
  </sheetViews>
  <sheetFormatPr defaultRowHeight="14.4" x14ac:dyDescent="0.3"/>
  <cols>
    <col min="1" max="1" width="10.5546875" bestFit="1" customWidth="1"/>
    <col min="2" max="4" width="9.109375" bestFit="1" customWidth="1"/>
    <col min="5" max="10" width="9.5546875" bestFit="1" customWidth="1"/>
    <col min="11" max="13" width="9.109375" bestFit="1" customWidth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 t="s">
        <v>5</v>
      </c>
      <c r="I1" s="2" t="s">
        <v>4</v>
      </c>
      <c r="J1" s="2" t="s">
        <v>3</v>
      </c>
      <c r="K1" s="2" t="s">
        <v>2</v>
      </c>
      <c r="L1" s="2" t="s">
        <v>1</v>
      </c>
      <c r="M1" s="2" t="s">
        <v>0</v>
      </c>
    </row>
    <row r="2" spans="1:13" x14ac:dyDescent="0.3">
      <c r="A2" s="3">
        <v>1366</v>
      </c>
      <c r="B2" s="2">
        <f>'پل آدینان'!M2+'دره پنبه دان'!M2+صفاخانه!M2+'کریم آباد'!M2</f>
        <v>4.87</v>
      </c>
      <c r="C2" s="2">
        <f>'پل آدینان'!L2+'دره پنبه دان'!L2+صفاخانه!L2+'کریم آباد'!L2</f>
        <v>27.175999999999998</v>
      </c>
      <c r="D2" s="2">
        <f>'پل آدینان'!K2+'دره پنبه دان'!K2+صفاخانه!K2+'کریم آباد'!K2</f>
        <v>26.198</v>
      </c>
      <c r="E2" s="2">
        <f>'پل آدینان'!J2+'دره پنبه دان'!J2+صفاخانه!J2+'کریم آباد'!J2</f>
        <v>61.254000000000005</v>
      </c>
      <c r="F2" s="2">
        <f>'پل آدینان'!I2+'دره پنبه دان'!I2+صفاخانه!I2+'کریم آباد'!I2</f>
        <v>58.573999999999998</v>
      </c>
      <c r="G2" s="2">
        <f>'پل آدینان'!H2+'دره پنبه دان'!H2+صفاخانه!H2+'کریم آباد'!H2</f>
        <v>324.74399999999997</v>
      </c>
      <c r="H2" s="2">
        <f>'پل آدینان'!G2+'دره پنبه دان'!G2+صفاخانه!G2+'کریم آباد'!G2</f>
        <v>399.01400000000001</v>
      </c>
      <c r="I2" s="2">
        <f>'پل آدینان'!F2+'دره پنبه دان'!F2+صفاخانه!F2+'کریم آباد'!F2</f>
        <v>347.60900000000004</v>
      </c>
      <c r="J2" s="2">
        <f>'پل آدینان'!E2+'دره پنبه دان'!E2+صفاخانه!E2+'کریم آباد'!E2</f>
        <v>68.2</v>
      </c>
      <c r="K2" s="2">
        <f>'پل آدینان'!D2+'دره پنبه دان'!D2+صفاخانه!D2+'کریم آباد'!D2</f>
        <v>16.463000000000001</v>
      </c>
      <c r="L2" s="2">
        <f>'پل آدینان'!C2+'دره پنبه دان'!C2+صفاخانه!C2+'کریم آباد'!C2</f>
        <v>5.5440000000000005</v>
      </c>
      <c r="M2" s="2">
        <f>'پل آدینان'!B2+'دره پنبه دان'!B2+صفاخانه!B2+'کریم آباد'!B2</f>
        <v>3.7110000000000003</v>
      </c>
    </row>
    <row r="3" spans="1:13" x14ac:dyDescent="0.3">
      <c r="A3" s="3">
        <v>1367</v>
      </c>
      <c r="B3" s="2">
        <f>'پل آدینان'!M3+'دره پنبه دان'!M3+صفاخانه!M3+'کریم آباد'!M3</f>
        <v>5.234</v>
      </c>
      <c r="C3" s="2">
        <f>'پل آدینان'!L3+'دره پنبه دان'!L3+صفاخانه!L3+'کریم آباد'!L3</f>
        <v>16.32</v>
      </c>
      <c r="D3" s="2">
        <f>'پل آدینان'!K3+'دره پنبه دان'!K3+صفاخانه!K3+'کریم آباد'!K3</f>
        <v>17.442999999999998</v>
      </c>
      <c r="E3" s="2">
        <f>'پل آدینان'!J3+'دره پنبه دان'!J3+صفاخانه!J3+'کریم آباد'!J3</f>
        <v>21.742000000000004</v>
      </c>
      <c r="F3" s="2">
        <f>'پل آدینان'!I3+'دره پنبه دان'!I3+صفاخانه!I3+'کریم آباد'!I3</f>
        <v>15.421000000000001</v>
      </c>
      <c r="G3" s="2">
        <f>'پل آدینان'!H3+'دره پنبه دان'!H3+صفاخانه!H3+'کریم آباد'!H3</f>
        <v>114.928</v>
      </c>
      <c r="H3" s="2">
        <f>'پل آدینان'!G3+'دره پنبه دان'!G3+صفاخانه!G3+'کریم آباد'!G3</f>
        <v>132.88</v>
      </c>
      <c r="I3" s="2">
        <f>'پل آدینان'!F3+'دره پنبه دان'!F3+صفاخانه!F3+'کریم آباد'!F3</f>
        <v>55.278999999999996</v>
      </c>
      <c r="J3" s="2">
        <f>'پل آدینان'!E3+'دره پنبه دان'!E3+صفاخانه!E3+'کریم آباد'!E3</f>
        <v>11.125</v>
      </c>
      <c r="K3" s="2">
        <f>'پل آدینان'!D3+'دره پنبه دان'!D3+صفاخانه!D3+'کریم آباد'!D3</f>
        <v>2.1909999999999998</v>
      </c>
      <c r="L3" s="2">
        <f>'پل آدینان'!C3+'دره پنبه دان'!C3+صفاخانه!C3+'کریم آباد'!C3</f>
        <v>1.276</v>
      </c>
      <c r="M3" s="2">
        <f>'پل آدینان'!B3+'دره پنبه دان'!B3+صفاخانه!B3+'کریم آباد'!B3</f>
        <v>0.26300000000000001</v>
      </c>
    </row>
    <row r="4" spans="1:13" x14ac:dyDescent="0.3">
      <c r="A4" s="3">
        <v>1368</v>
      </c>
      <c r="B4" s="2">
        <f>'پل آدینان'!M4+'دره پنبه دان'!M4+صفاخانه!M4+'کریم آباد'!M4</f>
        <v>0.83500000000000008</v>
      </c>
      <c r="C4" s="2">
        <f>'پل آدینان'!L4+'دره پنبه دان'!L4+صفاخانه!L4+'کریم آباد'!L4</f>
        <v>17.311</v>
      </c>
      <c r="D4" s="2">
        <f>'پل آدینان'!K4+'دره پنبه دان'!K4+صفاخانه!K4+'کریم آباد'!K4</f>
        <v>22.873999999999999</v>
      </c>
      <c r="E4" s="2">
        <f>'پل آدینان'!J4+'دره پنبه دان'!J4+صفاخانه!J4+'کریم آباد'!J4</f>
        <v>14.914000000000001</v>
      </c>
      <c r="F4" s="2">
        <f>'پل آدینان'!I4+'دره پنبه دان'!I4+صفاخانه!I4+'کریم آباد'!I4</f>
        <v>20.231000000000002</v>
      </c>
      <c r="G4" s="2">
        <f>'پل آدینان'!H4+'دره پنبه دان'!H4+صفاخانه!H4+'کریم آباد'!H4</f>
        <v>371.52000000000004</v>
      </c>
      <c r="H4" s="2">
        <f>'پل آدینان'!G4+'دره پنبه دان'!G4+صفاخانه!G4+'کریم آباد'!G4</f>
        <v>151.58700000000002</v>
      </c>
      <c r="I4" s="2">
        <f>'پل آدینان'!F4+'دره پنبه دان'!F4+صفاخانه!F4+'کریم آباد'!F4</f>
        <v>99.204000000000008</v>
      </c>
      <c r="J4" s="2">
        <f>'پل آدینان'!E4+'دره پنبه دان'!E4+صفاخانه!E4+'کریم آباد'!E4</f>
        <v>15.096000000000002</v>
      </c>
      <c r="K4" s="2">
        <f>'پل آدینان'!D4+'دره پنبه دان'!D4+صفاخانه!D4+'کریم آباد'!D4</f>
        <v>3.3340000000000001</v>
      </c>
      <c r="L4" s="2">
        <f>'پل آدینان'!C4+'دره پنبه دان'!C4+صفاخانه!C4+'کریم آباد'!C4</f>
        <v>1.4319999999999999</v>
      </c>
      <c r="M4" s="2">
        <f>'پل آدینان'!B4+'دره پنبه دان'!B4+صفاخانه!B4+'کریم آباد'!B4</f>
        <v>1.452</v>
      </c>
    </row>
    <row r="5" spans="1:13" x14ac:dyDescent="0.3">
      <c r="A5" s="3">
        <v>1369</v>
      </c>
      <c r="B5" s="2">
        <f>'پل آدینان'!M5+'دره پنبه دان'!M5+صفاخانه!M5+'کریم آباد'!M5</f>
        <v>1.609</v>
      </c>
      <c r="C5" s="2">
        <f>'پل آدینان'!L5+'دره پنبه دان'!L5+صفاخانه!L5+'کریم آباد'!L5</f>
        <v>5.66</v>
      </c>
      <c r="D5" s="2">
        <f>'پل آدینان'!K5+'دره پنبه دان'!K5+صفاخانه!K5+'کریم آباد'!K5</f>
        <v>5.9649999999999999</v>
      </c>
      <c r="E5" s="2">
        <f>'پل آدینان'!J5+'دره پنبه دان'!J5+صفاخانه!J5+'کریم آباد'!J5</f>
        <v>5.6880000000000006</v>
      </c>
      <c r="F5" s="2">
        <f>'پل آدینان'!I5+'دره پنبه دان'!I5+صفاخانه!I5+'کریم آباد'!I5</f>
        <v>11.321999999999999</v>
      </c>
      <c r="G5" s="2">
        <f>'پل آدینان'!H5+'دره پنبه دان'!H5+صفاخانه!H5+'کریم آباد'!H5</f>
        <v>62.448999999999998</v>
      </c>
      <c r="H5" s="2">
        <f>'پل آدینان'!G5+'دره پنبه دان'!G5+صفاخانه!G5+'کریم آباد'!G5</f>
        <v>192.08700000000002</v>
      </c>
      <c r="I5" s="2">
        <f>'پل آدینان'!F5+'دره پنبه دان'!F5+صفاخانه!F5+'کریم آباد'!F5</f>
        <v>65.45</v>
      </c>
      <c r="J5" s="2">
        <f>'پل آدینان'!E5+'دره پنبه دان'!E5+صفاخانه!E5+'کریم آباد'!E5</f>
        <v>9.2490000000000006</v>
      </c>
      <c r="K5" s="2">
        <f>'پل آدینان'!D5+'دره پنبه دان'!D5+صفاخانه!D5+'کریم آباد'!D5</f>
        <v>4.1070000000000002</v>
      </c>
      <c r="L5" s="2">
        <f>'پل آدینان'!C5+'دره پنبه دان'!C5+صفاخانه!C5+'کریم آباد'!C5</f>
        <v>1.07</v>
      </c>
      <c r="M5" s="2">
        <f>'پل آدینان'!B5+'دره پنبه دان'!B5+صفاخانه!B5+'کریم آباد'!B5</f>
        <v>0.30199999999999999</v>
      </c>
    </row>
    <row r="6" spans="1:13" x14ac:dyDescent="0.3">
      <c r="A6" s="3">
        <v>1370</v>
      </c>
      <c r="B6" s="2">
        <f>'پل آدینان'!M6+'دره پنبه دان'!M6+صفاخانه!M6+'کریم آباد'!M6</f>
        <v>2.3210000000000002</v>
      </c>
      <c r="C6" s="2">
        <f>'پل آدینان'!L6+'دره پنبه دان'!L6+صفاخانه!L6+'کریم آباد'!L6</f>
        <v>6.17</v>
      </c>
      <c r="D6" s="2">
        <f>'پل آدینان'!K6+'دره پنبه دان'!K6+صفاخانه!K6+'کریم آباد'!K6</f>
        <v>43.673000000000002</v>
      </c>
      <c r="E6" s="2">
        <f>'پل آدینان'!J6+'دره پنبه دان'!J6+صفاخانه!J6+'کریم آباد'!J6</f>
        <v>22.515999999999998</v>
      </c>
      <c r="F6" s="2">
        <f>'پل آدینان'!I6+'دره پنبه دان'!I6+صفاخانه!I6+'کریم آباد'!I6</f>
        <v>22.376999999999999</v>
      </c>
      <c r="G6" s="2">
        <f>'پل آدینان'!H6+'دره پنبه دان'!H6+صفاخانه!H6+'کریم آباد'!H6</f>
        <v>57.984999999999999</v>
      </c>
      <c r="H6" s="2">
        <f>'پل آدینان'!G6+'دره پنبه دان'!G6+صفاخانه!G6+'کریم آباد'!G6</f>
        <v>255.863</v>
      </c>
      <c r="I6" s="2">
        <f>'پل آدینان'!F6+'دره پنبه دان'!F6+صفاخانه!F6+'کریم آباد'!F6</f>
        <v>376.12299999999999</v>
      </c>
      <c r="J6" s="2">
        <f>'پل آدینان'!E6+'دره پنبه دان'!E6+صفاخانه!E6+'کریم آباد'!E6</f>
        <v>161.214</v>
      </c>
      <c r="K6" s="2">
        <f>'پل آدینان'!D6+'دره پنبه دان'!D6+صفاخانه!D6+'کریم آباد'!D6</f>
        <v>18.518000000000001</v>
      </c>
      <c r="L6" s="2">
        <f>'پل آدینان'!C6+'دره پنبه دان'!C6+صفاخانه!C6+'کریم آباد'!C6</f>
        <v>5.6989999999999998</v>
      </c>
      <c r="M6" s="2">
        <f>'پل آدینان'!B6+'دره پنبه دان'!B6+صفاخانه!B6+'کریم آباد'!B6</f>
        <v>4.5440000000000005</v>
      </c>
    </row>
    <row r="7" spans="1:13" x14ac:dyDescent="0.3">
      <c r="A7" s="3">
        <v>1371</v>
      </c>
      <c r="B7" s="2">
        <f>'پل آدینان'!M7+'دره پنبه دان'!M7+صفاخانه!M7+'کریم آباد'!M7</f>
        <v>4.1920000000000002</v>
      </c>
      <c r="C7" s="2">
        <f>'پل آدینان'!L7+'دره پنبه دان'!L7+صفاخانه!L7+'کریم آباد'!L7</f>
        <v>10.702999999999999</v>
      </c>
      <c r="D7" s="2">
        <f>'پل آدینان'!K7+'دره پنبه دان'!K7+صفاخانه!K7+'کریم آباد'!K7</f>
        <v>23.129000000000001</v>
      </c>
      <c r="E7" s="2">
        <f>'پل آدینان'!J7+'دره پنبه دان'!J7+صفاخانه!J7+'کریم آباد'!J7</f>
        <v>24.010999999999999</v>
      </c>
      <c r="F7" s="2">
        <f>'پل آدینان'!I7+'دره پنبه دان'!I7+صفاخانه!I7+'کریم آباد'!I7</f>
        <v>16.416</v>
      </c>
      <c r="G7" s="2">
        <f>'پل آدینان'!H7+'دره پنبه دان'!H7+صفاخانه!H7+'کریم آباد'!H7</f>
        <v>77.308999999999997</v>
      </c>
      <c r="H7" s="2">
        <f>'پل آدینان'!G7+'دره پنبه دان'!G7+صفاخانه!G7+'کریم آباد'!G7</f>
        <v>160.22399999999999</v>
      </c>
      <c r="I7" s="2">
        <f>'پل آدینان'!F7+'دره پنبه دان'!F7+صفاخانه!F7+'کریم آباد'!F7</f>
        <v>133.55200000000002</v>
      </c>
      <c r="J7" s="2">
        <f>'پل آدینان'!E7+'دره پنبه دان'!E7+صفاخانه!E7+'کریم آباد'!E7</f>
        <v>43.254999999999995</v>
      </c>
      <c r="K7" s="2">
        <f>'پل آدینان'!D7+'دره پنبه دان'!D7+صفاخانه!D7+'کریم آباد'!D7</f>
        <v>6.7439999999999998</v>
      </c>
      <c r="L7" s="2">
        <f>'پل آدینان'!C7+'دره پنبه دان'!C7+صفاخانه!C7+'کریم آباد'!C7</f>
        <v>3.5019999999999998</v>
      </c>
      <c r="M7" s="2">
        <f>'پل آدینان'!B7+'دره پنبه دان'!B7+صفاخانه!B7+'کریم آباد'!B7</f>
        <v>2.1399999999999997</v>
      </c>
    </row>
    <row r="8" spans="1:13" x14ac:dyDescent="0.3">
      <c r="A8" s="3">
        <v>1372</v>
      </c>
      <c r="B8" s="2">
        <f>'پل آدینان'!M8+'دره پنبه دان'!M8+صفاخانه!M8+'کریم آباد'!M8</f>
        <v>2.5269999999999997</v>
      </c>
      <c r="C8" s="2">
        <f>'پل آدینان'!L8+'دره پنبه دان'!L8+صفاخانه!L8+'کریم آباد'!L8</f>
        <v>55.954999999999998</v>
      </c>
      <c r="D8" s="2">
        <f>'پل آدینان'!K8+'دره پنبه دان'!K8+صفاخانه!K8+'کریم آباد'!K8</f>
        <v>82.261999999999986</v>
      </c>
      <c r="E8" s="2">
        <f>'پل آدینان'!J8+'دره پنبه دان'!J8+صفاخانه!J8+'کریم آباد'!J8</f>
        <v>123.61599999999999</v>
      </c>
      <c r="F8" s="2">
        <f>'پل آدینان'!I8+'دره پنبه دان'!I8+صفاخانه!I8+'کریم آباد'!I8</f>
        <v>95.515000000000001</v>
      </c>
      <c r="G8" s="2">
        <f>'پل آدینان'!H8+'دره پنبه دان'!H8+صفاخانه!H8+'کریم آباد'!H8</f>
        <v>119.06800000000001</v>
      </c>
      <c r="H8" s="2">
        <f>'پل آدینان'!G8+'دره پنبه دان'!G8+صفاخانه!G8+'کریم آباد'!G8</f>
        <v>179.23099999999999</v>
      </c>
      <c r="I8" s="2">
        <f>'پل آدینان'!F8+'دره پنبه دان'!F8+صفاخانه!F8+'کریم آباد'!F8</f>
        <v>149.10599999999999</v>
      </c>
      <c r="J8" s="2">
        <f>'پل آدینان'!E8+'دره پنبه دان'!E8+صفاخانه!E8+'کریم آباد'!E8</f>
        <v>41.325000000000003</v>
      </c>
      <c r="K8" s="2">
        <f>'پل آدینان'!D8+'دره پنبه دان'!D8+صفاخانه!D8+'کریم آباد'!D8</f>
        <v>7.9870000000000001</v>
      </c>
      <c r="L8" s="2">
        <f>'پل آدینان'!C8+'دره پنبه دان'!C8+صفاخانه!C8+'کریم آباد'!C8</f>
        <v>3.698</v>
      </c>
      <c r="M8" s="2">
        <f>'پل آدینان'!B8+'دره پنبه دان'!B8+صفاخانه!B8+'کریم آباد'!B8</f>
        <v>2.2850000000000001</v>
      </c>
    </row>
    <row r="9" spans="1:13" x14ac:dyDescent="0.3">
      <c r="A9" s="3">
        <v>1373</v>
      </c>
      <c r="B9" s="2">
        <f>'پل آدینان'!M9+'دره پنبه دان'!M9+صفاخانه!M9+'کریم آباد'!M9</f>
        <v>3.3053333333333335</v>
      </c>
      <c r="C9" s="2">
        <f>'پل آدینان'!L9+'دره پنبه دان'!L9+صفاخانه!L9+'کریم آباد'!L9</f>
        <v>44.19</v>
      </c>
      <c r="D9" s="2">
        <f>'پل آدینان'!K9+'دره پنبه دان'!K9+صفاخانه!K9+'کریم آباد'!K9</f>
        <v>49.410999999999994</v>
      </c>
      <c r="E9" s="2">
        <f>'پل آدینان'!J9+'دره پنبه دان'!J9+صفاخانه!J9+'کریم آباد'!J9</f>
        <v>49.483666666666664</v>
      </c>
      <c r="F9" s="2">
        <f>'پل آدینان'!I9+'دره پنبه دان'!I9+صفاخانه!I9+'کریم آباد'!I9</f>
        <v>46.212666666666664</v>
      </c>
      <c r="G9" s="2">
        <f>'پل آدینان'!H9+'دره پنبه دان'!H9+صفاخانه!H9+'کریم آباد'!H9</f>
        <v>59.540333333333336</v>
      </c>
      <c r="H9" s="2">
        <f>'پل آدینان'!G9+'دره پنبه دان'!G9+صفاخانه!G9+'کریم آباد'!G9</f>
        <v>139.51066666666665</v>
      </c>
      <c r="I9" s="2">
        <f>'پل آدینان'!F9+'دره پنبه دان'!F9+صفاخانه!F9+'کریم آباد'!F9</f>
        <v>138.85999999999999</v>
      </c>
      <c r="J9" s="2">
        <f>'پل آدینان'!E9+'دره پنبه دان'!E9+صفاخانه!E9+'کریم آباد'!E9</f>
        <v>62.038666666666671</v>
      </c>
      <c r="K9" s="2">
        <f>'پل آدینان'!D9+'دره پنبه دان'!D9+صفاخانه!D9+'کریم آباد'!D9</f>
        <v>13.189333333333334</v>
      </c>
      <c r="L9" s="2">
        <f>'پل آدینان'!C9+'دره پنبه دان'!C9+صفاخانه!C9+'کریم آباد'!C9</f>
        <v>3.7326666666666668</v>
      </c>
      <c r="M9" s="2">
        <f>'پل آدینان'!B9+'دره پنبه دان'!B9+صفاخانه!B9+'کریم آباد'!B9</f>
        <v>2.0206666666666666</v>
      </c>
    </row>
    <row r="10" spans="1:13" x14ac:dyDescent="0.3">
      <c r="A10" s="3">
        <v>1374</v>
      </c>
      <c r="B10" s="2">
        <f>'پل آدینان'!M10+'دره پنبه دان'!M10+صفاخانه!M10+'کریم آباد'!M10</f>
        <v>2.0176666666666669</v>
      </c>
      <c r="C10" s="2">
        <f>'پل آدینان'!L10+'دره پنبه دان'!L10+صفاخانه!L10+'کریم آباد'!L10</f>
        <v>3.6026666666666669</v>
      </c>
      <c r="D10" s="2">
        <f>'پل آدینان'!K10+'دره پنبه دان'!K10+صفاخانه!K10+'کریم آباد'!K10</f>
        <v>4.8789999999999996</v>
      </c>
      <c r="E10" s="2">
        <f>'پل آدینان'!J10+'دره پنبه دان'!J10+صفاخانه!J10+'کریم آباد'!J10</f>
        <v>8.5303333333333331</v>
      </c>
      <c r="F10" s="2">
        <f>'پل آدینان'!I10+'دره پنبه دان'!I10+صفاخانه!I10+'کریم آباد'!I10</f>
        <v>26.433</v>
      </c>
      <c r="G10" s="2">
        <f>'پل آدینان'!H10+'دره پنبه دان'!H10+صفاخانه!H10+'کریم آباد'!H10</f>
        <v>39.426333333333332</v>
      </c>
      <c r="H10" s="2">
        <f>'پل آدینان'!G10+'دره پنبه دان'!G10+صفاخانه!G10+'کریم آباد'!G10</f>
        <v>127.56733333333332</v>
      </c>
      <c r="I10" s="2">
        <f>'پل آدینان'!F10+'دره پنبه دان'!F10+صفاخانه!F10+'کریم آباد'!F10</f>
        <v>118.988</v>
      </c>
      <c r="J10" s="2">
        <f>'پل آدینان'!E10+'دره پنبه دان'!E10+صفاخانه!E10+'کریم آباد'!E10</f>
        <v>37.344000000000001</v>
      </c>
      <c r="K10" s="2">
        <f>'پل آدینان'!D10+'دره پنبه دان'!D10+صفاخانه!D10+'کریم آباد'!D10</f>
        <v>4.6423333333333332</v>
      </c>
      <c r="L10" s="2">
        <f>'پل آدینان'!C10+'دره پنبه دان'!C10+صفاخانه!C10+'کریم آباد'!C10</f>
        <v>1.6010000000000002</v>
      </c>
      <c r="M10" s="2">
        <f>'پل آدینان'!B10+'دره پنبه دان'!B10+صفاخانه!B10+'کریم آباد'!B10</f>
        <v>0.85299999999999987</v>
      </c>
    </row>
    <row r="11" spans="1:13" x14ac:dyDescent="0.3">
      <c r="A11" s="3">
        <v>1375</v>
      </c>
      <c r="B11" s="2">
        <f>'پل آدینان'!M11+'دره پنبه دان'!M11+صفاخانه!M11+'کریم آباد'!M11</f>
        <v>1.464</v>
      </c>
      <c r="C11" s="2">
        <f>'پل آدینان'!L11+'دره پنبه دان'!L11+صفاخانه!L11+'کریم آباد'!L11</f>
        <v>3.5880000000000001</v>
      </c>
      <c r="D11" s="2">
        <f>'پل آدینان'!K11+'دره پنبه دان'!K11+صفاخانه!K11+'کریم آباد'!K11</f>
        <v>6.112000000000001</v>
      </c>
      <c r="E11" s="2">
        <f>'پل آدینان'!J11+'دره پنبه دان'!J11+صفاخانه!J11+'کریم آباد'!J11</f>
        <v>10.879999999999999</v>
      </c>
      <c r="F11" s="2">
        <f>'پل آدینان'!I11+'دره پنبه دان'!I11+صفاخانه!I11+'کریم آباد'!I11</f>
        <v>10.362</v>
      </c>
      <c r="G11" s="2">
        <f>'پل آدینان'!H11+'دره پنبه دان'!H11+صفاخانه!H11+'کریم آباد'!H11</f>
        <v>21.258000000000003</v>
      </c>
      <c r="H11" s="2">
        <f>'پل آدینان'!G11+'دره پنبه دان'!G11+صفاخانه!G11+'کریم آباد'!G11</f>
        <v>115.054</v>
      </c>
      <c r="I11" s="2">
        <f>'پل آدینان'!F11+'دره پنبه دان'!F11+صفاخانه!F11+'کریم آباد'!F11</f>
        <v>119.217</v>
      </c>
      <c r="J11" s="2">
        <f>'پل آدینان'!E11+'دره پنبه دان'!E11+صفاخانه!E11+'کریم آباد'!E11</f>
        <v>22.680999999999997</v>
      </c>
      <c r="K11" s="2">
        <f>'پل آدینان'!D11+'دره پنبه دان'!D11+صفاخانه!D11+'کریم آباد'!D11</f>
        <v>5.0909999999999993</v>
      </c>
      <c r="L11" s="2">
        <f>'پل آدینان'!C11+'دره پنبه دان'!C11+صفاخانه!C11+'کریم آباد'!C11</f>
        <v>1.04</v>
      </c>
      <c r="M11" s="2">
        <f>'پل آدینان'!B11+'دره پنبه دان'!B11+صفاخانه!B11+'کریم آباد'!B11</f>
        <v>0.31400000000000006</v>
      </c>
    </row>
    <row r="12" spans="1:13" x14ac:dyDescent="0.3">
      <c r="A12" s="3">
        <v>1376</v>
      </c>
      <c r="B12" s="2">
        <f>'پل آدینان'!M12+'دره پنبه دان'!M12+صفاخانه!M12+'کریم آباد'!M12</f>
        <v>1.5489999999999999</v>
      </c>
      <c r="C12" s="2">
        <f>'پل آدینان'!L12+'دره پنبه دان'!L12+صفاخانه!L12+'کریم آباد'!L12</f>
        <v>13.251999999999999</v>
      </c>
      <c r="D12" s="2">
        <f>'پل آدینان'!K12+'دره پنبه دان'!K12+صفاخانه!K12+'کریم آباد'!K12</f>
        <v>8.2419999999999991</v>
      </c>
      <c r="E12" s="2">
        <f>'پل آدینان'!J12+'دره پنبه دان'!J12+صفاخانه!J12+'کریم آباد'!J12</f>
        <v>9.770999999999999</v>
      </c>
      <c r="F12" s="2">
        <f>'پل آدینان'!I12+'دره پنبه دان'!I12+صفاخانه!I12+'کریم آباد'!I12</f>
        <v>33.856000000000002</v>
      </c>
      <c r="G12" s="2">
        <f>'پل آدینان'!H12+'دره پنبه دان'!H12+صفاخانه!H12+'کریم آباد'!H12</f>
        <v>77.356000000000009</v>
      </c>
      <c r="H12" s="2">
        <f>'پل آدینان'!G12+'دره پنبه دان'!G12+صفاخانه!G12+'کریم آباد'!G12</f>
        <v>233.46699999999998</v>
      </c>
      <c r="I12" s="2">
        <f>'پل آدینان'!F12+'دره پنبه دان'!F12+صفاخانه!F12+'کریم آباد'!F12</f>
        <v>104.42599999999999</v>
      </c>
      <c r="J12" s="2">
        <f>'پل آدینان'!E12+'دره پنبه دان'!E12+صفاخانه!E12+'کریم آباد'!E12</f>
        <v>15.147</v>
      </c>
      <c r="K12" s="2">
        <f>'پل آدینان'!D12+'دره پنبه دان'!D12+صفاخانه!D12+'کریم آباد'!D12</f>
        <v>3.7720000000000002</v>
      </c>
      <c r="L12" s="2">
        <f>'پل آدینان'!C12+'دره پنبه دان'!C12+صفاخانه!C12+'کریم آباد'!C12</f>
        <v>1.6349999999999998</v>
      </c>
      <c r="M12" s="2">
        <f>'پل آدینان'!B12+'دره پنبه دان'!B12+صفاخانه!B12+'کریم آباد'!B12</f>
        <v>0.98</v>
      </c>
    </row>
    <row r="13" spans="1:13" x14ac:dyDescent="0.3">
      <c r="A13" s="3">
        <v>1377</v>
      </c>
      <c r="B13" s="2">
        <f>'پل آدینان'!M13+'دره پنبه دان'!M13+صفاخانه!M13+'کریم آباد'!M13</f>
        <v>1.5980000000000001</v>
      </c>
      <c r="C13" s="2">
        <f>'پل آدینان'!L13+'دره پنبه دان'!L13+صفاخانه!L13+'کریم آباد'!L13</f>
        <v>3.3480000000000003</v>
      </c>
      <c r="D13" s="2">
        <f>'پل آدینان'!K13+'دره پنبه دان'!K13+صفاخانه!K13+'کریم آباد'!K13</f>
        <v>6.077</v>
      </c>
      <c r="E13" s="2">
        <f>'پل آدینان'!J13+'دره پنبه دان'!J13+صفاخانه!J13+'کریم آباد'!J13</f>
        <v>7.6329999999999991</v>
      </c>
      <c r="F13" s="2">
        <f>'پل آدینان'!I13+'دره پنبه دان'!I13+صفاخانه!I13+'کریم آباد'!I13</f>
        <v>16.22</v>
      </c>
      <c r="G13" s="2">
        <f>'پل آدینان'!H13+'دره پنبه دان'!H13+صفاخانه!H13+'کریم آباد'!H13</f>
        <v>19.989000000000001</v>
      </c>
      <c r="H13" s="2">
        <f>'پل آدینان'!G13+'دره پنبه دان'!G13+صفاخانه!G13+'کریم آباد'!G13</f>
        <v>31.999000000000002</v>
      </c>
      <c r="I13" s="2">
        <f>'پل آدینان'!F13+'دره پنبه دان'!F13+صفاخانه!F13+'کریم آباد'!F13</f>
        <v>11.436999999999999</v>
      </c>
      <c r="J13" s="2">
        <f>'پل آدینان'!E13+'دره پنبه دان'!E13+صفاخانه!E13+'کریم آباد'!E13</f>
        <v>1.52</v>
      </c>
      <c r="K13" s="2">
        <f>'پل آدینان'!D13+'دره پنبه دان'!D13+صفاخانه!D13+'کریم آباد'!D13</f>
        <v>0.58600000000000008</v>
      </c>
      <c r="L13" s="2">
        <f>'پل آدینان'!C13+'دره پنبه دان'!C13+صفاخانه!C13+'کریم آباد'!C13</f>
        <v>0.77999999999999992</v>
      </c>
      <c r="M13" s="2">
        <f>'پل آدینان'!B13+'دره پنبه دان'!B13+صفاخانه!B13+'کریم آباد'!B13</f>
        <v>0.151</v>
      </c>
    </row>
    <row r="14" spans="1:13" x14ac:dyDescent="0.3">
      <c r="A14" s="3">
        <v>1378</v>
      </c>
      <c r="B14" s="2">
        <f>'پل آدینان'!M14+'دره پنبه دان'!M14+صفاخانه!M14+'کریم آباد'!M14</f>
        <v>0.36899999999999999</v>
      </c>
      <c r="C14" s="2">
        <f>'پل آدینان'!L14+'دره پنبه دان'!L14+صفاخانه!L14+'کریم آباد'!L14</f>
        <v>0.80500000000000016</v>
      </c>
      <c r="D14" s="2">
        <f>'پل آدینان'!K14+'دره پنبه دان'!K14+صفاخانه!K14+'کریم آباد'!K14</f>
        <v>8.6329999999999991</v>
      </c>
      <c r="E14" s="2">
        <f>'پل آدینان'!J14+'دره پنبه دان'!J14+صفاخانه!J14+'کریم آباد'!J14</f>
        <v>10.101000000000003</v>
      </c>
      <c r="F14" s="2">
        <f>'پل آدینان'!I14+'دره پنبه دان'!I14+صفاخانه!I14+'کریم آباد'!I14</f>
        <v>11.247999999999999</v>
      </c>
      <c r="G14" s="2">
        <f>'پل آدینان'!H14+'دره پنبه دان'!H14+صفاخانه!H14+'کریم آباد'!H14</f>
        <v>35.957999999999998</v>
      </c>
      <c r="H14" s="2">
        <f>'پل آدینان'!G14+'دره پنبه دان'!G14+صفاخانه!G14+'کریم آباد'!G14</f>
        <v>103.721</v>
      </c>
      <c r="I14" s="2">
        <f>'پل آدینان'!F14+'دره پنبه دان'!F14+صفاخانه!F14+'کریم آباد'!F14</f>
        <v>39.158000000000001</v>
      </c>
      <c r="J14" s="2">
        <f>'پل آدینان'!E14+'دره پنبه دان'!E14+صفاخانه!E14+'کریم آباد'!E14</f>
        <v>4.8260000000000005</v>
      </c>
      <c r="K14" s="2">
        <f>'پل آدینان'!D14+'دره پنبه دان'!D14+صفاخانه!D14+'کریم آباد'!D14</f>
        <v>0.79900000000000004</v>
      </c>
      <c r="L14" s="2">
        <f>'پل آدینان'!C14+'دره پنبه دان'!C14+صفاخانه!C14+'کریم آباد'!C14</f>
        <v>0.24500000000000002</v>
      </c>
      <c r="M14" s="2">
        <f>'پل آدینان'!B14+'دره پنبه دان'!B14+صفاخانه!B14+'کریم آباد'!B14</f>
        <v>0.14099999999999999</v>
      </c>
    </row>
    <row r="15" spans="1:13" x14ac:dyDescent="0.3">
      <c r="A15" s="3">
        <v>1379</v>
      </c>
      <c r="B15" s="2">
        <f>'پل آدینان'!M15+'دره پنبه دان'!M15+صفاخانه!M15+'کریم آباد'!M15</f>
        <v>0.94800000000000006</v>
      </c>
      <c r="C15" s="2">
        <f>'پل آدینان'!L15+'دره پنبه دان'!L15+صفاخانه!L15+'کریم آباد'!L15</f>
        <v>1.2850000000000001</v>
      </c>
      <c r="D15" s="2">
        <f>'پل آدینان'!K15+'دره پنبه دان'!K15+صفاخانه!K15+'کریم آباد'!K15</f>
        <v>3.2510000000000003</v>
      </c>
      <c r="E15" s="2">
        <f>'پل آدینان'!J15+'دره پنبه دان'!J15+صفاخانه!J15+'کریم آباد'!J15</f>
        <v>9.004999999999999</v>
      </c>
      <c r="F15" s="2">
        <f>'پل آدینان'!I15+'دره پنبه دان'!I15+صفاخانه!I15+'کریم آباد'!I15</f>
        <v>14.877000000000001</v>
      </c>
      <c r="G15" s="2">
        <f>'پل آدینان'!H15+'دره پنبه دان'!H15+صفاخانه!H15+'کریم آباد'!H15</f>
        <v>54.441000000000003</v>
      </c>
      <c r="H15" s="2">
        <f>'پل آدینان'!G15+'دره پنبه دان'!G15+صفاخانه!G15+'کریم آباد'!G15</f>
        <v>62.194000000000003</v>
      </c>
      <c r="I15" s="2">
        <f>'پل آدینان'!F15+'دره پنبه دان'!F15+صفاخانه!F15+'کریم آباد'!F15</f>
        <v>19.157</v>
      </c>
      <c r="J15" s="2">
        <f>'پل آدینان'!E15+'دره پنبه دان'!E15+صفاخانه!E15+'کریم آباد'!E15</f>
        <v>2.8420000000000001</v>
      </c>
      <c r="K15" s="2">
        <f>'پل آدینان'!D15+'دره پنبه دان'!D15+صفاخانه!D15+'کریم آباد'!D15</f>
        <v>0.40300000000000002</v>
      </c>
      <c r="L15" s="2">
        <f>'پل آدینان'!C15+'دره پنبه دان'!C15+صفاخانه!C15+'کریم آباد'!C15</f>
        <v>0.26900000000000002</v>
      </c>
      <c r="M15" s="2">
        <f>'پل آدینان'!B15+'دره پنبه دان'!B15+صفاخانه!B15+'کریم آباد'!B15</f>
        <v>8.8999999999999996E-2</v>
      </c>
    </row>
    <row r="16" spans="1:13" x14ac:dyDescent="0.3">
      <c r="A16" s="3">
        <v>1380</v>
      </c>
      <c r="B16" s="2">
        <f>'پل آدینان'!M16+'دره پنبه دان'!M16+صفاخانه!M16+'کریم آباد'!M16</f>
        <v>0.13</v>
      </c>
      <c r="C16" s="2">
        <f>'پل آدینان'!L16+'دره پنبه دان'!L16+صفاخانه!L16+'کریم آباد'!L16</f>
        <v>2.3690000000000002</v>
      </c>
      <c r="D16" s="2">
        <f>'پل آدینان'!K16+'دره پنبه دان'!K16+صفاخانه!K16+'کریم آباد'!K16</f>
        <v>23.070999999999998</v>
      </c>
      <c r="E16" s="2">
        <f>'پل آدینان'!J16+'دره پنبه دان'!J16+صفاخانه!J16+'کریم آباد'!J16</f>
        <v>88.332999999999998</v>
      </c>
      <c r="F16" s="2">
        <f>'پل آدینان'!I16+'دره پنبه دان'!I16+صفاخانه!I16+'کریم آباد'!I16</f>
        <v>48.54</v>
      </c>
      <c r="G16" s="2">
        <f>'پل آدینان'!H16+'دره پنبه دان'!H16+صفاخانه!H16+'کریم آباد'!H16</f>
        <v>71.416999999999987</v>
      </c>
      <c r="H16" s="2">
        <f>'پل آدینان'!G16+'دره پنبه دان'!G16+صفاخانه!G16+'کریم آباد'!G16</f>
        <v>173.33799999999999</v>
      </c>
      <c r="I16" s="2">
        <f>'پل آدینان'!F16+'دره پنبه دان'!F16+صفاخانه!F16+'کریم آباد'!F16</f>
        <v>95.292000000000002</v>
      </c>
      <c r="J16" s="2">
        <f>'پل آدینان'!E16+'دره پنبه دان'!E16+صفاخانه!E16+'کریم آباد'!E16</f>
        <v>21.515000000000001</v>
      </c>
      <c r="K16" s="2">
        <f>'پل آدینان'!D16+'دره پنبه دان'!D16+صفاخانه!D16+'کریم آباد'!D16</f>
        <v>2.984</v>
      </c>
      <c r="L16" s="2">
        <f>'پل آدینان'!C16+'دره پنبه دان'!C16+صفاخانه!C16+'کریم آباد'!C16</f>
        <v>0.61099999999999999</v>
      </c>
      <c r="M16" s="2">
        <f>'پل آدینان'!B16+'دره پنبه دان'!B16+صفاخانه!B16+'کریم آباد'!B16</f>
        <v>0.21099999999999999</v>
      </c>
    </row>
    <row r="17" spans="1:13" x14ac:dyDescent="0.3">
      <c r="A17" s="3">
        <v>1381</v>
      </c>
      <c r="B17" s="2">
        <f>'پل آدینان'!M17+'دره پنبه دان'!M17+صفاخانه!M17+'کریم آباد'!M17</f>
        <v>1.454</v>
      </c>
      <c r="C17" s="2">
        <f>'پل آدینان'!L17+'دره پنبه دان'!L17+صفاخانه!L17+'کریم آباد'!L17</f>
        <v>4.1070000000000002</v>
      </c>
      <c r="D17" s="2">
        <f>'پل آدینان'!K17+'دره پنبه دان'!K17+صفاخانه!K17+'کریم آباد'!K17</f>
        <v>29.244000000000003</v>
      </c>
      <c r="E17" s="2">
        <f>'پل آدینان'!J17+'دره پنبه دان'!J17+صفاخانه!J17+'کریم آباد'!J17</f>
        <v>40.403999999999996</v>
      </c>
      <c r="F17" s="2">
        <f>'پل آدینان'!I17+'دره پنبه دان'!I17+صفاخانه!I17+'کریم آباد'!I17</f>
        <v>46.832999999999991</v>
      </c>
      <c r="G17" s="2">
        <f>'پل آدینان'!H17+'دره پنبه دان'!H17+صفاخانه!H17+'کریم آباد'!H17</f>
        <v>174.76500000000001</v>
      </c>
      <c r="H17" s="2">
        <f>'پل آدینان'!G17+'دره پنبه دان'!G17+صفاخانه!G17+'کریم آباد'!G17</f>
        <v>389.33</v>
      </c>
      <c r="I17" s="2">
        <f>'پل آدینان'!F17+'دره پنبه دان'!F17+صفاخانه!F17+'کریم آباد'!F17</f>
        <v>234.41000000000003</v>
      </c>
      <c r="J17" s="2">
        <f>'پل آدینان'!E17+'دره پنبه دان'!E17+صفاخانه!E17+'کریم آباد'!E17</f>
        <v>60.453000000000003</v>
      </c>
      <c r="K17" s="2">
        <f>'پل آدینان'!D17+'دره پنبه دان'!D17+صفاخانه!D17+'کریم آباد'!D17</f>
        <v>11.468</v>
      </c>
      <c r="L17" s="2">
        <f>'پل آدینان'!C17+'دره پنبه دان'!C17+صفاخانه!C17+'کریم آباد'!C17</f>
        <v>2.9939999999999998</v>
      </c>
      <c r="M17" s="2">
        <f>'پل آدینان'!B17+'دره پنبه دان'!B17+صفاخانه!B17+'کریم آباد'!B17</f>
        <v>1.5289999999999999</v>
      </c>
    </row>
    <row r="18" spans="1:13" x14ac:dyDescent="0.3">
      <c r="A18" s="3">
        <v>1382</v>
      </c>
      <c r="B18" s="2">
        <f>'پل آدینان'!M18+'دره پنبه دان'!M18+صفاخانه!M18+'کریم آباد'!M18</f>
        <v>2.3340000000000001</v>
      </c>
      <c r="C18" s="2">
        <f>'پل آدینان'!L18+'دره پنبه دان'!L18+صفاخانه!L18+'کریم آباد'!L18</f>
        <v>13.356</v>
      </c>
      <c r="D18" s="2">
        <f>'پل آدینان'!K18+'دره پنبه دان'!K18+صفاخانه!K18+'کریم آباد'!K18</f>
        <v>23.245999999999999</v>
      </c>
      <c r="E18" s="2">
        <f>'پل آدینان'!J18+'دره پنبه دان'!J18+صفاخانه!J18+'کریم آباد'!J18</f>
        <v>42.387</v>
      </c>
      <c r="F18" s="2">
        <f>'پل آدینان'!I18+'دره پنبه دان'!I18+صفاخانه!I18+'کریم آباد'!I18</f>
        <v>65.566000000000003</v>
      </c>
      <c r="G18" s="2">
        <f>'پل آدینان'!H18+'دره پنبه دان'!H18+صفاخانه!H18+'کریم آباد'!H18</f>
        <v>165.452</v>
      </c>
      <c r="H18" s="2">
        <f>'پل آدینان'!G18+'دره پنبه دان'!G18+صفاخانه!G18+'کریم آباد'!G18</f>
        <v>112.86799999999999</v>
      </c>
      <c r="I18" s="2">
        <f>'پل آدینان'!F18+'دره پنبه دان'!F18+صفاخانه!F18+'کریم آباد'!F18</f>
        <v>145.41999999999999</v>
      </c>
      <c r="J18" s="2">
        <f>'پل آدینان'!E18+'دره پنبه دان'!E18+صفاخانه!E18+'کریم آباد'!E18</f>
        <v>44.416999999999994</v>
      </c>
      <c r="K18" s="2">
        <f>'پل آدینان'!D18+'دره پنبه دان'!D18+صفاخانه!D18+'کریم آباد'!D18</f>
        <v>7.3000000000000007</v>
      </c>
      <c r="L18" s="2">
        <f>'پل آدینان'!C18+'دره پنبه دان'!C18+صفاخانه!C18+'کریم آباد'!C18</f>
        <v>1.613</v>
      </c>
      <c r="M18" s="2">
        <f>'پل آدینان'!B18+'دره پنبه دان'!B18+صفاخانه!B18+'کریم آباد'!B18</f>
        <v>0.33900000000000002</v>
      </c>
    </row>
    <row r="19" spans="1:13" x14ac:dyDescent="0.3">
      <c r="A19" s="3">
        <v>1383</v>
      </c>
      <c r="B19" s="2">
        <f>'پل آدینان'!M19+'دره پنبه دان'!M19+صفاخانه!M19+'کریم آباد'!M19</f>
        <v>1.0629999999999999</v>
      </c>
      <c r="C19" s="2">
        <f>'پل آدینان'!L19+'دره پنبه دان'!L19+صفاخانه!L19+'کریم آباد'!L19</f>
        <v>35.173000000000002</v>
      </c>
      <c r="D19" s="2">
        <f>'پل آدینان'!K19+'دره پنبه دان'!K19+صفاخانه!K19+'کریم آباد'!K19</f>
        <v>40.545999999999999</v>
      </c>
      <c r="E19" s="2">
        <f>'پل آدینان'!J19+'دره پنبه دان'!J19+صفاخانه!J19+'کریم آباد'!J19</f>
        <v>21.536999999999999</v>
      </c>
      <c r="F19" s="2">
        <f>'پل آدینان'!I19+'دره پنبه دان'!I19+صفاخانه!I19+'کریم آباد'!I19</f>
        <v>41.886000000000003</v>
      </c>
      <c r="G19" s="2">
        <f>'پل آدینان'!H19+'دره پنبه دان'!H19+صفاخانه!H19+'کریم آباد'!H19</f>
        <v>285.51</v>
      </c>
      <c r="H19" s="2">
        <f>'پل آدینان'!G19+'دره پنبه دان'!G19+صفاخانه!G19+'کریم آباد'!G19</f>
        <v>209.12200000000001</v>
      </c>
      <c r="I19" s="2">
        <f>'پل آدینان'!F19+'دره پنبه دان'!F19+صفاخانه!F19+'کریم آباد'!F19</f>
        <v>100.09399999999999</v>
      </c>
      <c r="J19" s="2">
        <f>'پل آدینان'!E19+'دره پنبه دان'!E19+صفاخانه!E19+'کریم آباد'!E19</f>
        <v>15.597</v>
      </c>
      <c r="K19" s="2">
        <f>'پل آدینان'!D19+'دره پنبه دان'!D19+صفاخانه!D19+'کریم آباد'!D19</f>
        <v>3.1</v>
      </c>
      <c r="L19" s="2">
        <f>'پل آدینان'!C19+'دره پنبه دان'!C19+صفاخانه!C19+'کریم آباد'!C19</f>
        <v>15.562000000000001</v>
      </c>
      <c r="M19" s="2">
        <f>'پل آدینان'!B19+'دره پنبه دان'!B19+صفاخانه!B19+'کریم آباد'!B19</f>
        <v>0.72600000000000009</v>
      </c>
    </row>
    <row r="20" spans="1:13" x14ac:dyDescent="0.3">
      <c r="A20" s="3">
        <v>1384</v>
      </c>
      <c r="B20" s="2">
        <f>'پل آدینان'!M20+'دره پنبه دان'!M20+صفاخانه!M20+'کریم آباد'!M20</f>
        <v>1.0469999999999999</v>
      </c>
      <c r="C20" s="2">
        <f>'پل آدینان'!L20+'دره پنبه دان'!L20+صفاخانه!L20+'کریم آباد'!L20</f>
        <v>2.4649999999999999</v>
      </c>
      <c r="D20" s="2">
        <f>'پل آدینان'!K20+'دره پنبه دان'!K20+صفاخانه!K20+'کریم آباد'!K20</f>
        <v>3.968</v>
      </c>
      <c r="E20" s="2">
        <f>'پل آدینان'!J20+'دره پنبه دان'!J20+صفاخانه!J20+'کریم آباد'!J20</f>
        <v>8.1020000000000003</v>
      </c>
      <c r="F20" s="2">
        <f>'پل آدینان'!I20+'دره پنبه دان'!I20+صفاخانه!I20+'کریم آباد'!I20</f>
        <v>144.19800000000001</v>
      </c>
      <c r="G20" s="2">
        <f>'پل آدینان'!H20+'دره پنبه دان'!H20+صفاخانه!H20+'کریم آباد'!H20</f>
        <v>128.084</v>
      </c>
      <c r="H20" s="2">
        <f>'پل آدینان'!G20+'دره پنبه دان'!G20+صفاخانه!G20+'کریم آباد'!G20</f>
        <v>104.422</v>
      </c>
      <c r="I20" s="2">
        <f>'پل آدینان'!F20+'دره پنبه دان'!F20+صفاخانه!F20+'کریم آباد'!F20</f>
        <v>85.924000000000007</v>
      </c>
      <c r="J20" s="2">
        <f>'پل آدینان'!E20+'دره پنبه دان'!E20+صفاخانه!E20+'کریم آباد'!E20</f>
        <v>15.919</v>
      </c>
      <c r="K20" s="2">
        <f>'پل آدینان'!D20+'دره پنبه دان'!D20+صفاخانه!D20+'کریم آباد'!D20</f>
        <v>4.1680000000000001</v>
      </c>
      <c r="L20" s="2">
        <f>'پل آدینان'!C20+'دره پنبه دان'!C20+صفاخانه!C20+'کریم آباد'!C20</f>
        <v>1.5949999999999998</v>
      </c>
      <c r="M20" s="2">
        <f>'پل آدینان'!B20+'دره پنبه دان'!B20+صفاخانه!B20+'کریم آباد'!B20</f>
        <v>0.58200000000000007</v>
      </c>
    </row>
    <row r="21" spans="1:13" x14ac:dyDescent="0.3">
      <c r="A21" s="3">
        <v>1385</v>
      </c>
      <c r="B21" s="2">
        <f>'پل آدینان'!M21+'دره پنبه دان'!M21+صفاخانه!M21+'کریم آباد'!M21</f>
        <v>1.4149999999999998</v>
      </c>
      <c r="C21" s="2">
        <f>'پل آدینان'!L21+'دره پنبه دان'!L21+صفاخانه!L21+'کریم آباد'!L21</f>
        <v>23.869999999999997</v>
      </c>
      <c r="D21" s="2">
        <f>'پل آدینان'!K21+'دره پنبه دان'!K21+صفاخانه!K21+'کریم آباد'!K21</f>
        <v>11.831999999999999</v>
      </c>
      <c r="E21" s="2">
        <f>'پل آدینان'!J21+'دره پنبه دان'!J21+صفاخانه!J21+'کریم آباد'!J21</f>
        <v>13.39</v>
      </c>
      <c r="F21" s="2">
        <f>'پل آدینان'!I21+'دره پنبه دان'!I21+صفاخانه!I21+'کریم آباد'!I21</f>
        <v>28.681000000000004</v>
      </c>
      <c r="G21" s="2">
        <f>'پل آدینان'!H21+'دره پنبه دان'!H21+صفاخانه!H21+'کریم آباد'!H21</f>
        <v>54.581000000000003</v>
      </c>
      <c r="H21" s="2">
        <f>'پل آدینان'!G21+'دره پنبه دان'!G21+صفاخانه!G21+'کریم آباد'!G21</f>
        <v>159.76</v>
      </c>
      <c r="I21" s="2">
        <f>'پل آدینان'!F21+'دره پنبه دان'!F21+صفاخانه!F21+'کریم آباد'!F21</f>
        <v>132.476</v>
      </c>
      <c r="J21" s="2">
        <f>'پل آدینان'!E21+'دره پنبه دان'!E21+صفاخانه!E21+'کریم آباد'!E21</f>
        <v>23.762</v>
      </c>
      <c r="K21" s="2">
        <f>'پل آدینان'!D21+'دره پنبه دان'!D21+صفاخانه!D21+'کریم آباد'!D21</f>
        <v>5.7690000000000001</v>
      </c>
      <c r="L21" s="2">
        <f>'پل آدینان'!C21+'دره پنبه دان'!C21+صفاخانه!C21+'کریم آباد'!C21</f>
        <v>1.3939999999999999</v>
      </c>
      <c r="M21" s="2">
        <f>'پل آدینان'!B21+'دره پنبه دان'!B21+صفاخانه!B21+'کریم آباد'!B21</f>
        <v>1.1539999999999999</v>
      </c>
    </row>
    <row r="22" spans="1:13" x14ac:dyDescent="0.3">
      <c r="A22" s="3">
        <v>1386</v>
      </c>
      <c r="B22" s="2">
        <f>'پل آدینان'!M22+'دره پنبه دان'!M22+صفاخانه!M22+'کریم آباد'!M22</f>
        <v>1.5409999999999999</v>
      </c>
      <c r="C22" s="2">
        <f>'پل آدینان'!L22+'دره پنبه دان'!L22+صفاخانه!L22+'کریم آباد'!L22</f>
        <v>1.9130000000000003</v>
      </c>
      <c r="D22" s="2">
        <f>'پل آدینان'!K22+'دره پنبه دان'!K22+صفاخانه!K22+'کریم آباد'!K22</f>
        <v>9.5969999999999995</v>
      </c>
      <c r="E22" s="2">
        <f>'پل آدینان'!J22+'دره پنبه دان'!J22+صفاخانه!J22+'کریم آباد'!J22</f>
        <v>6.7170000000000005</v>
      </c>
      <c r="F22" s="2">
        <f>'پل آدینان'!I22+'دره پنبه دان'!I22+صفاخانه!I22+'کریم آباد'!I22</f>
        <v>9.0139999999999993</v>
      </c>
      <c r="G22" s="2">
        <f>'پل آدینان'!H22+'دره پنبه دان'!H22+صفاخانه!H22+'کریم آباد'!H22</f>
        <v>85.902999999999992</v>
      </c>
      <c r="H22" s="2">
        <f>'پل آدینان'!G22+'دره پنبه دان'!G22+صفاخانه!G22+'کریم آباد'!G22</f>
        <v>82.784999999999997</v>
      </c>
      <c r="I22" s="2">
        <f>'پل آدینان'!F22+'دره پنبه دان'!F22+صفاخانه!F22+'کریم آباد'!F22</f>
        <v>15.231000000000002</v>
      </c>
      <c r="J22" s="2">
        <f>'پل آدینان'!E22+'دره پنبه دان'!E22+صفاخانه!E22+'کریم آباد'!E22</f>
        <v>2.6709999999999998</v>
      </c>
      <c r="K22" s="2">
        <f>'پل آدینان'!D22+'دره پنبه دان'!D22+صفاخانه!D22+'کریم آباد'!D22</f>
        <v>0.55500000000000005</v>
      </c>
      <c r="L22" s="2">
        <f>'پل آدینان'!C22+'دره پنبه دان'!C22+صفاخانه!C22+'کریم آباد'!C22</f>
        <v>0.318</v>
      </c>
      <c r="M22" s="2">
        <f>'پل آدینان'!B22+'دره پنبه دان'!B22+صفاخانه!B22+'کریم آباد'!B22</f>
        <v>0.97</v>
      </c>
    </row>
    <row r="23" spans="1:13" x14ac:dyDescent="0.3">
      <c r="A23" s="3">
        <v>1387</v>
      </c>
      <c r="B23" s="2">
        <f>'پل آدینان'!M23+'دره پنبه دان'!M23+صفاخانه!M23+'کریم آباد'!M23</f>
        <v>0.91200000000000003</v>
      </c>
      <c r="C23" s="2">
        <f>'پل آدینان'!L23+'دره پنبه دان'!L23+صفاخانه!L23+'کریم آباد'!L23</f>
        <v>6.3959999999999999</v>
      </c>
      <c r="D23" s="2">
        <f>'پل آدینان'!K23+'دره پنبه دان'!K23+صفاخانه!K23+'کریم آباد'!K23</f>
        <v>5.867</v>
      </c>
      <c r="E23" s="2">
        <f>'پل آدینان'!J23+'دره پنبه دان'!J23+صفاخانه!J23+'کریم آباد'!J23</f>
        <v>5.6880000000000006</v>
      </c>
      <c r="F23" s="2">
        <f>'پل آدینان'!I23+'دره پنبه دان'!I23+صفاخانه!I23+'کریم آباد'!I23</f>
        <v>14.181000000000001</v>
      </c>
      <c r="G23" s="2">
        <f>'پل آدینان'!H23+'دره پنبه دان'!H23+صفاخانه!H23+'کریم آباد'!H23</f>
        <v>43.833000000000006</v>
      </c>
      <c r="H23" s="2">
        <f>'پل آدینان'!G23+'دره پنبه دان'!G23+صفاخانه!G23+'کریم آباد'!G23</f>
        <v>83.977000000000004</v>
      </c>
      <c r="I23" s="2">
        <f>'پل آدینان'!F23+'دره پنبه دان'!F23+صفاخانه!F23+'کریم آباد'!F23</f>
        <v>73.27300000000001</v>
      </c>
      <c r="J23" s="2">
        <f>'پل آدینان'!E23+'دره پنبه دان'!E23+صفاخانه!E23+'کریم آباد'!E23</f>
        <v>10.812999999999999</v>
      </c>
      <c r="K23" s="2">
        <f>'پل آدینان'!D23+'دره پنبه دان'!D23+صفاخانه!D23+'کریم آباد'!D23</f>
        <v>1.5820000000000001</v>
      </c>
      <c r="L23" s="2">
        <f>'پل آدینان'!C23+'دره پنبه دان'!C23+صفاخانه!C23+'کریم آباد'!C23</f>
        <v>0.497</v>
      </c>
      <c r="M23" s="2">
        <f>'پل آدینان'!B23+'دره پنبه دان'!B23+صفاخانه!B23+'کریم آباد'!B23</f>
        <v>0.158</v>
      </c>
    </row>
    <row r="24" spans="1:13" x14ac:dyDescent="0.3">
      <c r="A24" s="3">
        <v>1388</v>
      </c>
      <c r="B24" s="2">
        <f>'پل آدینان'!M24+'دره پنبه دان'!M24+صفاخانه!M24+'کریم آباد'!M24</f>
        <v>1.216</v>
      </c>
      <c r="C24" s="2">
        <f>'پل آدینان'!L24+'دره پنبه دان'!L24+صفاخانه!L24+'کریم آباد'!L24</f>
        <v>21.039000000000001</v>
      </c>
      <c r="D24" s="2">
        <f>'پل آدینان'!K24+'دره پنبه دان'!K24+صفاخانه!K24+'کریم آباد'!K24</f>
        <v>23.650999999999996</v>
      </c>
      <c r="E24" s="2">
        <f>'پل آدینان'!J24+'دره پنبه دان'!J24+صفاخانه!J24+'کریم آباد'!J24</f>
        <v>33.433</v>
      </c>
      <c r="F24" s="2">
        <f>'پل آدینان'!I24+'دره پنبه دان'!I24+صفاخانه!I24+'کریم آباد'!I24</f>
        <v>40.86</v>
      </c>
      <c r="G24" s="2">
        <f>'پل آدینان'!H24+'دره پنبه دان'!H24+صفاخانه!H24+'کریم آباد'!H24</f>
        <v>139.56799999999998</v>
      </c>
      <c r="H24" s="2">
        <f>'پل آدینان'!G24+'دره پنبه دان'!G24+صفاخانه!G24+'کریم آباد'!G24</f>
        <v>219.08700000000002</v>
      </c>
      <c r="I24" s="2">
        <f>'پل آدینان'!F24+'دره پنبه دان'!F24+صفاخانه!F24+'کریم آباد'!F24</f>
        <v>279.65200000000004</v>
      </c>
      <c r="J24" s="2">
        <f>'پل آدینان'!E24+'دره پنبه دان'!E24+صفاخانه!E24+'کریم آباد'!E24</f>
        <v>147.358</v>
      </c>
      <c r="K24" s="2">
        <f>'پل آدینان'!D24+'دره پنبه دان'!D24+صفاخانه!D24+'کریم آباد'!D24</f>
        <v>4.0679999999999996</v>
      </c>
      <c r="L24" s="2">
        <f>'پل آدینان'!C24+'دره پنبه دان'!C24+صفاخانه!C24+'کریم آباد'!C24</f>
        <v>0.189</v>
      </c>
      <c r="M24" s="2">
        <f>'پل آدینان'!B24+'دره پنبه دان'!B24+صفاخانه!B24+'کریم آباد'!B24</f>
        <v>0.23300000000000001</v>
      </c>
    </row>
    <row r="25" spans="1:13" x14ac:dyDescent="0.3">
      <c r="A25" s="3">
        <v>1389</v>
      </c>
      <c r="B25" s="2">
        <f>'پل آدینان'!M25+'دره پنبه دان'!M25+صفاخانه!M25+'کریم آباد'!M25</f>
        <v>0.33799999999999997</v>
      </c>
      <c r="C25" s="2">
        <f>'پل آدینان'!L25+'دره پنبه دان'!L25+صفاخانه!L25+'کریم آباد'!L25</f>
        <v>1.0469999999999999</v>
      </c>
      <c r="D25" s="2">
        <f>'پل آدینان'!K25+'دره پنبه دان'!K25+صفاخانه!K25+'کریم آباد'!K25</f>
        <v>5.7940000000000005</v>
      </c>
      <c r="E25" s="2">
        <f>'پل آدینان'!J25+'دره پنبه دان'!J25+صفاخانه!J25+'کریم آباد'!J25</f>
        <v>11.452999999999999</v>
      </c>
      <c r="F25" s="2">
        <f>'پل آدینان'!I25+'دره پنبه دان'!I25+صفاخانه!I25+'کریم آباد'!I25</f>
        <v>24.686</v>
      </c>
      <c r="G25" s="2">
        <f>'پل آدینان'!H25+'دره پنبه دان'!H25+صفاخانه!H25+'کریم آباد'!H25</f>
        <v>80.149000000000001</v>
      </c>
      <c r="H25" s="2">
        <f>'پل آدینان'!G25+'دره پنبه دان'!G25+صفاخانه!G25+'کریم آباد'!G25</f>
        <v>87.798999999999992</v>
      </c>
      <c r="I25" s="2">
        <f>'پل آدینان'!F25+'دره پنبه دان'!F25+صفاخانه!F25+'کریم آباد'!F25</f>
        <v>156.03199999999998</v>
      </c>
      <c r="J25" s="2">
        <f>'پل آدینان'!E25+'دره پنبه دان'!E25+صفاخانه!E25+'کریم آباد'!E25</f>
        <v>16.021999999999998</v>
      </c>
      <c r="K25" s="2">
        <f>'پل آدینان'!D25+'دره پنبه دان'!D25+صفاخانه!D25+'کریم آباد'!D25</f>
        <v>2.7250000000000005</v>
      </c>
      <c r="L25" s="2">
        <f>'پل آدینان'!C25+'دره پنبه دان'!C25+صفاخانه!C25+'کریم آباد'!C25</f>
        <v>0.59</v>
      </c>
      <c r="M25" s="2">
        <f>'پل آدینان'!B25+'دره پنبه دان'!B25+صفاخانه!B25+'کریم آباد'!B25</f>
        <v>0.52</v>
      </c>
    </row>
    <row r="26" spans="1:13" x14ac:dyDescent="0.3">
      <c r="A26" s="3">
        <v>1390</v>
      </c>
      <c r="B26" s="2">
        <f>'پل آدینان'!M26+'دره پنبه دان'!M26+صفاخانه!M26+'کریم آباد'!M26</f>
        <v>0.434</v>
      </c>
      <c r="C26" s="2">
        <f>'پل آدینان'!L26+'دره پنبه دان'!L26+صفاخانه!L26+'کریم آباد'!L26</f>
        <v>9.5780000000000012</v>
      </c>
      <c r="D26" s="2">
        <f>'پل آدینان'!K26+'دره پنبه دان'!K26+صفاخانه!K26+'کریم آباد'!K26</f>
        <v>12.829000000000001</v>
      </c>
      <c r="E26" s="2">
        <f>'پل آدینان'!J26+'دره پنبه دان'!J26+صفاخانه!J26+'کریم آباد'!J26</f>
        <v>17.147000000000002</v>
      </c>
      <c r="F26" s="2">
        <f>'پل آدینان'!I26+'دره پنبه دان'!I26+صفاخانه!I26+'کریم آباد'!I26</f>
        <v>27.029</v>
      </c>
      <c r="G26" s="2">
        <f>'پل آدینان'!H26+'دره پنبه دان'!H26+صفاخانه!H26+'کریم آباد'!H26</f>
        <v>57.432999999999993</v>
      </c>
      <c r="H26" s="2">
        <f>'پل آدینان'!G26+'دره پنبه دان'!G26+صفاخانه!G26+'کریم آباد'!G26</f>
        <v>293.45299999999997</v>
      </c>
      <c r="I26" s="2">
        <f>'پل آدینان'!F26+'دره پنبه دان'!F26+صفاخانه!F26+'کریم آباد'!F26</f>
        <v>182.19399999999999</v>
      </c>
      <c r="J26" s="2">
        <f>'پل آدینان'!E26+'دره پنبه دان'!E26+صفاخانه!E26+'کریم آباد'!E26</f>
        <v>19.445</v>
      </c>
      <c r="K26" s="2">
        <f>'پل آدینان'!D26+'دره پنبه دان'!D26+صفاخانه!D26+'کریم آباد'!D26</f>
        <v>4.133</v>
      </c>
      <c r="L26" s="2">
        <f>'پل آدینان'!C26+'دره پنبه دان'!C26+صفاخانه!C26+'کریم آباد'!C26</f>
        <v>1.4469999999999998</v>
      </c>
      <c r="M26" s="2">
        <f>'پل آدینان'!B26+'دره پنبه دان'!B26+صفاخانه!B26+'کریم آباد'!B26</f>
        <v>0.14799999999999999</v>
      </c>
    </row>
    <row r="27" spans="1:13" x14ac:dyDescent="0.3">
      <c r="A27" s="4">
        <v>1391</v>
      </c>
      <c r="B27" s="2">
        <f>'پل آدینان'!M27+'دره پنبه دان'!M27+صفاخانه!M27+'کریم آباد'!M27</f>
        <v>0.80999999999999994</v>
      </c>
      <c r="C27" s="2">
        <f>'پل آدینان'!L27+'دره پنبه دان'!L27+صفاخانه!L27+'کریم آباد'!L27</f>
        <v>11.742000000000001</v>
      </c>
      <c r="D27" s="2">
        <f>'پل آدینان'!K27+'دره پنبه دان'!K27+صفاخانه!K27+'کریم آباد'!K27</f>
        <v>20.925999999999998</v>
      </c>
      <c r="E27" s="2">
        <f>'پل آدینان'!J27+'دره پنبه دان'!J27+صفاخانه!J27+'کریم آباد'!J27</f>
        <v>21.94</v>
      </c>
      <c r="F27" s="2">
        <f>'پل آدینان'!I27+'دره پنبه دان'!I27+صفاخانه!I27+'کریم آباد'!I27</f>
        <v>82.103999999999985</v>
      </c>
      <c r="G27" s="2">
        <f>'پل آدینان'!H27+'دره پنبه دان'!H27+صفاخانه!H27+'کریم آباد'!H27</f>
        <v>85.649999999999991</v>
      </c>
      <c r="H27" s="2">
        <f>'پل آدینان'!G27+'دره پنبه دان'!G27+صفاخانه!G27+'کریم آباد'!G27</f>
        <v>92.402000000000001</v>
      </c>
      <c r="I27" s="2">
        <f>'پل آدینان'!F27+'دره پنبه دان'!F27+صفاخانه!F27+'کریم آباد'!F27</f>
        <v>34.171999999999997</v>
      </c>
      <c r="J27" s="2">
        <f>'پل آدینان'!E27+'دره پنبه دان'!E27+صفاخانه!E27+'کریم آباد'!E27</f>
        <v>7.5839999999999996</v>
      </c>
      <c r="K27" s="2">
        <f>'پل آدینان'!D27+'دره پنبه دان'!D27+صفاخانه!D27+'کریم آباد'!D27</f>
        <v>0.64799999999999991</v>
      </c>
      <c r="L27" s="2">
        <f>'پل آدینان'!C27+'دره پنبه دان'!C27+صفاخانه!C27+'کریم آباد'!C27</f>
        <v>0.223</v>
      </c>
      <c r="M27" s="2">
        <f>'پل آدینان'!B27+'دره پنبه دان'!B27+صفاخانه!B27+'کریم آباد'!B27</f>
        <v>0.215</v>
      </c>
    </row>
    <row r="28" spans="1:13" x14ac:dyDescent="0.3">
      <c r="A28" s="4">
        <v>1392</v>
      </c>
      <c r="B28" s="2">
        <f>'پل آدینان'!M28+'دره پنبه دان'!M28+صفاخانه!M28+'کریم آباد'!M28</f>
        <v>0.34899999999999998</v>
      </c>
      <c r="C28" s="2">
        <f>'پل آدینان'!L28+'دره پنبه دان'!L28+صفاخانه!L28+'کریم آباد'!L28</f>
        <v>4.0040000000000004</v>
      </c>
      <c r="D28" s="2">
        <f>'پل آدینان'!K28+'دره پنبه دان'!K28+صفاخانه!K28+'کریم آباد'!K28</f>
        <v>21.978999999999999</v>
      </c>
      <c r="E28" s="2">
        <f>'پل آدینان'!J28+'دره پنبه دان'!J28+صفاخانه!J28+'کریم آباد'!J28</f>
        <v>14.422999999999998</v>
      </c>
      <c r="F28" s="2">
        <f>'پل آدینان'!I28+'دره پنبه دان'!I28+صفاخانه!I28+'کریم آباد'!I28</f>
        <v>32.603000000000002</v>
      </c>
      <c r="G28" s="2">
        <f>'پل آدینان'!H28+'دره پنبه دان'!H28+صفاخانه!H28+'کریم آباد'!H28</f>
        <v>84.705999999999989</v>
      </c>
      <c r="H28" s="2">
        <f>'پل آدینان'!G28+'دره پنبه دان'!G28+صفاخانه!G28+'کریم آباد'!G28</f>
        <v>109.39400000000001</v>
      </c>
      <c r="I28" s="2">
        <f>'پل آدینان'!F28+'دره پنبه دان'!F28+صفاخانه!F28+'کریم آباد'!F28</f>
        <v>60.658000000000001</v>
      </c>
      <c r="J28" s="2">
        <f>'پل آدینان'!E28+'دره پنبه دان'!E28+صفاخانه!E28+'کریم آباد'!E28</f>
        <v>4.976</v>
      </c>
      <c r="K28" s="2">
        <f>'پل آدینان'!D28+'دره پنبه دان'!D28+صفاخانه!D28+'کریم آباد'!D28</f>
        <v>1.7649999999999999</v>
      </c>
      <c r="L28" s="2">
        <f>'پل آدینان'!C28+'دره پنبه دان'!C28+صفاخانه!C28+'کریم آباد'!C28</f>
        <v>0.17199999999999999</v>
      </c>
      <c r="M28" s="2">
        <f>'پل آدینان'!B28+'دره پنبه دان'!B28+صفاخانه!B28+'کریم آباد'!B28</f>
        <v>0.193</v>
      </c>
    </row>
    <row r="29" spans="1:13" x14ac:dyDescent="0.3">
      <c r="A29" s="4">
        <v>1393</v>
      </c>
      <c r="B29" s="2">
        <f>'پل آدینان'!M29+'دره پنبه دان'!M29+صفاخانه!M29+'کریم آباد'!M29</f>
        <v>1.2910000000000001</v>
      </c>
      <c r="C29" s="2">
        <f>'پل آدینان'!L29+'دره پنبه دان'!L29+صفاخانه!L29+'کریم آباد'!L29</f>
        <v>10.000999999999999</v>
      </c>
      <c r="D29" s="2">
        <f>'پل آدینان'!K29+'دره پنبه دان'!K29+صفاخانه!K29+'کریم آباد'!K29</f>
        <v>44.39</v>
      </c>
      <c r="E29" s="2">
        <f>'پل آدینان'!J29+'دره پنبه دان'!J29+صفاخانه!J29+'کریم آباد'!J29</f>
        <v>28.666</v>
      </c>
      <c r="F29" s="2">
        <f>'پل آدینان'!I29+'دره پنبه دان'!I29+صفاخانه!I29+'کریم آباد'!I29</f>
        <v>59.558</v>
      </c>
      <c r="G29" s="2">
        <f>'پل آدینان'!H29+'دره پنبه دان'!H29+صفاخانه!H29+'کریم آباد'!H29</f>
        <v>44.170999999999999</v>
      </c>
      <c r="H29" s="2">
        <f>'پل آدینان'!G29+'دره پنبه دان'!G29+صفاخانه!G29+'کریم آباد'!G29</f>
        <v>111.94799999999999</v>
      </c>
      <c r="I29" s="2">
        <f>'پل آدینان'!F29+'دره پنبه دان'!F29+صفاخانه!F29+'کریم آباد'!F29</f>
        <v>55.354999999999997</v>
      </c>
      <c r="J29" s="2">
        <f>'پل آدینان'!E29+'دره پنبه دان'!E29+صفاخانه!E29+'کریم آباد'!E29</f>
        <v>6.6050000000000004</v>
      </c>
      <c r="K29" s="2">
        <f>'پل آدینان'!D29+'دره پنبه دان'!D29+صفاخانه!D29+'کریم آباد'!D29</f>
        <v>0.58499999999999996</v>
      </c>
      <c r="L29" s="2">
        <f>'پل آدینان'!C29+'دره پنبه دان'!C29+صفاخانه!C29+'کریم آباد'!C29</f>
        <v>0.83200000000000007</v>
      </c>
      <c r="M29" s="2">
        <f>'پل آدینان'!B29+'دره پنبه دان'!B29+صفاخانه!B29+'کریم آباد'!B29</f>
        <v>1.198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C8BC-D07E-40B2-8141-8642B221D116}">
  <dimension ref="A1:X30"/>
  <sheetViews>
    <sheetView topLeftCell="A16" workbookViewId="0">
      <selection activeCell="H32" sqref="H32"/>
    </sheetView>
  </sheetViews>
  <sheetFormatPr defaultRowHeight="14.4" x14ac:dyDescent="0.3"/>
  <cols>
    <col min="1" max="1" width="9.5546875" bestFit="1" customWidth="1"/>
    <col min="11" max="13" width="9" bestFit="1" customWidth="1"/>
    <col min="16" max="24" width="9" bestFit="1" customWidth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 t="s">
        <v>5</v>
      </c>
      <c r="I1" s="2" t="s">
        <v>4</v>
      </c>
      <c r="J1" s="2" t="s">
        <v>3</v>
      </c>
      <c r="K1" s="2" t="s">
        <v>2</v>
      </c>
      <c r="L1" s="2" t="s">
        <v>1</v>
      </c>
      <c r="M1" s="2" t="s">
        <v>0</v>
      </c>
    </row>
    <row r="2" spans="1:13" x14ac:dyDescent="0.3">
      <c r="A2" s="3">
        <v>1366</v>
      </c>
      <c r="B2" s="2">
        <v>24.332000000000001</v>
      </c>
      <c r="C2" s="2">
        <v>27.771999999999998</v>
      </c>
      <c r="D2" s="2">
        <v>25.966999999999999</v>
      </c>
      <c r="E2" s="2">
        <v>49.765000000000001</v>
      </c>
      <c r="F2" s="2">
        <v>53.26</v>
      </c>
      <c r="G2" s="2">
        <v>215.48599999999999</v>
      </c>
      <c r="H2" s="2">
        <v>432.16699999999997</v>
      </c>
      <c r="I2" s="2">
        <v>375.86099999999999</v>
      </c>
      <c r="J2" s="2">
        <v>70.847999999999999</v>
      </c>
      <c r="K2" s="2">
        <v>45.258000000000003</v>
      </c>
      <c r="L2" s="2">
        <v>49.758000000000003</v>
      </c>
      <c r="M2" s="2">
        <v>52.293999999999997</v>
      </c>
    </row>
    <row r="3" spans="1:13" x14ac:dyDescent="0.3">
      <c r="A3" s="3">
        <v>1367</v>
      </c>
      <c r="B3" s="2">
        <v>45.347999999999999</v>
      </c>
      <c r="C3" s="2">
        <v>45.866999999999997</v>
      </c>
      <c r="D3" s="2">
        <v>35.087000000000003</v>
      </c>
      <c r="E3" s="2">
        <v>34.412999999999997</v>
      </c>
      <c r="F3" s="2">
        <v>41.682000000000002</v>
      </c>
      <c r="G3" s="2">
        <v>62.643000000000001</v>
      </c>
      <c r="H3" s="2">
        <v>59.529000000000003</v>
      </c>
      <c r="I3" s="2">
        <v>61.131999999999998</v>
      </c>
      <c r="J3" s="2">
        <v>60.319000000000003</v>
      </c>
      <c r="K3" s="2">
        <v>50.439</v>
      </c>
      <c r="L3" s="2">
        <v>46.454999999999998</v>
      </c>
      <c r="M3" s="2">
        <v>39.340000000000003</v>
      </c>
    </row>
    <row r="4" spans="1:13" x14ac:dyDescent="0.3">
      <c r="A4" s="3">
        <v>1368</v>
      </c>
      <c r="B4" s="2">
        <v>40.087000000000003</v>
      </c>
      <c r="C4" s="2">
        <v>29.23</v>
      </c>
      <c r="D4" s="2">
        <v>15.737</v>
      </c>
      <c r="E4" s="2">
        <v>16.797999999999998</v>
      </c>
      <c r="F4" s="2">
        <v>12.363</v>
      </c>
      <c r="G4" s="2">
        <v>47.354999999999997</v>
      </c>
      <c r="H4" s="2">
        <v>60.752000000000002</v>
      </c>
      <c r="I4" s="2">
        <v>73.31</v>
      </c>
      <c r="J4" s="2">
        <v>62.183999999999997</v>
      </c>
      <c r="K4" s="2">
        <v>48.734000000000002</v>
      </c>
      <c r="L4" s="2">
        <v>57.920999999999999</v>
      </c>
      <c r="M4" s="2">
        <v>49.55</v>
      </c>
    </row>
    <row r="5" spans="1:13" x14ac:dyDescent="0.3">
      <c r="A5" s="3">
        <v>1369</v>
      </c>
      <c r="B5" s="2">
        <v>31.292999999999999</v>
      </c>
      <c r="C5" s="2">
        <v>12.827999999999999</v>
      </c>
      <c r="D5" s="2">
        <v>7.2480000000000002</v>
      </c>
      <c r="E5" s="2">
        <v>6.3170000000000002</v>
      </c>
      <c r="F5" s="2">
        <v>7.1319999999999997</v>
      </c>
      <c r="G5" s="2">
        <v>8.3049999999999997</v>
      </c>
      <c r="H5" s="2">
        <v>82.322000000000003</v>
      </c>
      <c r="I5" s="2">
        <v>109.065</v>
      </c>
      <c r="J5" s="2">
        <v>44.033999999999999</v>
      </c>
      <c r="K5" s="2">
        <v>36.81</v>
      </c>
      <c r="L5" s="2">
        <v>37.570999999999998</v>
      </c>
      <c r="M5" s="2">
        <v>39.729999999999997</v>
      </c>
    </row>
    <row r="6" spans="1:13" x14ac:dyDescent="0.3">
      <c r="A6" s="3">
        <v>1370</v>
      </c>
      <c r="B6" s="2">
        <v>27.018000000000001</v>
      </c>
      <c r="C6" s="2">
        <v>12.824999999999999</v>
      </c>
      <c r="D6" s="2">
        <v>9.3829999999999991</v>
      </c>
      <c r="E6" s="2">
        <v>26.265000000000001</v>
      </c>
      <c r="F6" s="2">
        <v>34.587000000000003</v>
      </c>
      <c r="G6" s="2">
        <v>55.061999999999998</v>
      </c>
      <c r="H6" s="2">
        <v>152.828</v>
      </c>
      <c r="I6" s="2">
        <v>434.11099999999999</v>
      </c>
      <c r="J6" s="2">
        <v>167.119</v>
      </c>
      <c r="K6" s="2">
        <v>39.234000000000002</v>
      </c>
      <c r="L6" s="2">
        <v>40.470999999999997</v>
      </c>
      <c r="M6" s="2">
        <v>31.09</v>
      </c>
    </row>
    <row r="7" spans="1:13" x14ac:dyDescent="0.3">
      <c r="A7" s="3">
        <v>1371</v>
      </c>
      <c r="B7" s="2">
        <v>29.997</v>
      </c>
      <c r="C7" s="2">
        <v>30.09</v>
      </c>
      <c r="D7" s="2">
        <v>27.92</v>
      </c>
      <c r="E7" s="2">
        <v>27.827000000000002</v>
      </c>
      <c r="F7" s="2">
        <v>38.982999999999997</v>
      </c>
      <c r="G7" s="2">
        <v>63.640999999999998</v>
      </c>
      <c r="H7" s="2">
        <v>168.089</v>
      </c>
      <c r="I7" s="2">
        <v>196.06200000000001</v>
      </c>
      <c r="J7" s="2">
        <v>61.5</v>
      </c>
      <c r="K7" s="2">
        <v>41.69</v>
      </c>
      <c r="L7" s="2">
        <v>37.445</v>
      </c>
      <c r="M7" s="2">
        <v>28.719000000000001</v>
      </c>
    </row>
    <row r="8" spans="1:13" x14ac:dyDescent="0.3">
      <c r="A8" s="3">
        <v>1372</v>
      </c>
      <c r="B8" s="2">
        <v>26.315000000000001</v>
      </c>
      <c r="C8" s="2">
        <v>25.965</v>
      </c>
      <c r="D8" s="2">
        <v>59.188000000000002</v>
      </c>
      <c r="E8" s="2">
        <v>165.83500000000001</v>
      </c>
      <c r="F8" s="2">
        <v>83.111999999999995</v>
      </c>
      <c r="G8" s="2">
        <v>124.05200000000001</v>
      </c>
      <c r="H8" s="2">
        <v>307.44900000000001</v>
      </c>
      <c r="I8" s="2">
        <v>234.41</v>
      </c>
      <c r="J8" s="2">
        <v>58.703000000000003</v>
      </c>
      <c r="K8" s="2">
        <v>43.652000000000001</v>
      </c>
      <c r="L8" s="2">
        <v>34.752000000000002</v>
      </c>
      <c r="M8" s="2">
        <v>30.641999999999999</v>
      </c>
    </row>
    <row r="9" spans="1:13" x14ac:dyDescent="0.3">
      <c r="A9" s="3">
        <v>1373</v>
      </c>
      <c r="B9" s="2">
        <v>24.004999999999999</v>
      </c>
      <c r="C9" s="2">
        <v>31.033999999999999</v>
      </c>
      <c r="D9" s="2">
        <v>82.95</v>
      </c>
      <c r="E9" s="2">
        <v>64.513000000000005</v>
      </c>
      <c r="F9" s="2">
        <v>81.878</v>
      </c>
      <c r="G9" s="2">
        <v>79.168000000000006</v>
      </c>
      <c r="H9" s="2">
        <v>169.24700000000001</v>
      </c>
      <c r="I9" s="2">
        <v>223.38900000000001</v>
      </c>
      <c r="J9" s="2">
        <v>60.497999999999998</v>
      </c>
      <c r="K9" s="2">
        <v>34.14</v>
      </c>
      <c r="L9" s="2">
        <v>37.585999999999999</v>
      </c>
      <c r="M9" s="2">
        <v>53.177999999999997</v>
      </c>
    </row>
    <row r="10" spans="1:13" x14ac:dyDescent="0.3">
      <c r="A10" s="3">
        <v>1374</v>
      </c>
      <c r="B10" s="2">
        <v>30.067</v>
      </c>
      <c r="C10" s="2">
        <v>10.303000000000001</v>
      </c>
      <c r="D10" s="2">
        <v>3.2759999999999998</v>
      </c>
      <c r="E10" s="2">
        <v>3.7650000000000001</v>
      </c>
      <c r="F10" s="2">
        <v>4.258</v>
      </c>
      <c r="G10" s="2">
        <v>6.2270000000000003</v>
      </c>
      <c r="H10" s="2">
        <v>163.60599999999999</v>
      </c>
      <c r="I10" s="2">
        <v>192.35</v>
      </c>
      <c r="J10" s="2">
        <v>47.581000000000003</v>
      </c>
      <c r="K10" s="2">
        <v>38.994</v>
      </c>
      <c r="L10" s="2">
        <v>39.415999999999997</v>
      </c>
      <c r="M10" s="2">
        <v>37.49</v>
      </c>
    </row>
    <row r="11" spans="1:13" x14ac:dyDescent="0.3">
      <c r="A11" s="3">
        <v>1375</v>
      </c>
      <c r="B11" s="2">
        <v>29.95</v>
      </c>
      <c r="C11" s="2">
        <v>3.37</v>
      </c>
      <c r="D11" s="2">
        <v>5.4409999999999998</v>
      </c>
      <c r="E11" s="2">
        <v>9.0429999999999993</v>
      </c>
      <c r="F11" s="2">
        <v>5.1449999999999996</v>
      </c>
      <c r="G11" s="2">
        <v>5.2030000000000003</v>
      </c>
      <c r="H11" s="2">
        <v>77.668000000000006</v>
      </c>
      <c r="I11" s="2">
        <v>149.61199999999999</v>
      </c>
      <c r="J11" s="2">
        <v>40.594000000000001</v>
      </c>
      <c r="K11" s="2">
        <v>44.29</v>
      </c>
      <c r="L11" s="2">
        <v>38.241999999999997</v>
      </c>
      <c r="M11" s="2">
        <v>29.59</v>
      </c>
    </row>
    <row r="12" spans="1:13" x14ac:dyDescent="0.3">
      <c r="A12" s="3">
        <v>1376</v>
      </c>
      <c r="B12" s="2">
        <v>24.931999999999999</v>
      </c>
      <c r="C12" s="2">
        <v>19.672999999999998</v>
      </c>
      <c r="D12" s="2">
        <v>14.055</v>
      </c>
      <c r="E12" s="2">
        <v>33.314</v>
      </c>
      <c r="F12" s="2">
        <v>52.564999999999998</v>
      </c>
      <c r="G12" s="2">
        <v>74.825000000000003</v>
      </c>
      <c r="H12" s="2">
        <v>278.70800000000003</v>
      </c>
      <c r="I12" s="2">
        <v>168.434</v>
      </c>
      <c r="J12" s="2">
        <v>37.947000000000003</v>
      </c>
      <c r="K12" s="2">
        <v>29.344999999999999</v>
      </c>
      <c r="L12" s="2">
        <v>31.106999999999999</v>
      </c>
      <c r="M12" s="2">
        <v>29.821000000000002</v>
      </c>
    </row>
    <row r="13" spans="1:13" x14ac:dyDescent="0.3">
      <c r="A13" s="3">
        <v>1377</v>
      </c>
      <c r="B13" s="2">
        <v>24.558</v>
      </c>
      <c r="C13" s="2">
        <v>24.204000000000001</v>
      </c>
      <c r="D13" s="2">
        <v>9.8079999999999998</v>
      </c>
      <c r="E13" s="2">
        <v>7.0709999999999997</v>
      </c>
      <c r="F13" s="2">
        <v>7.984</v>
      </c>
      <c r="G13" s="2">
        <v>8.1920000000000002</v>
      </c>
      <c r="H13" s="2">
        <v>7.242</v>
      </c>
      <c r="I13" s="2">
        <v>25.943000000000001</v>
      </c>
      <c r="J13" s="2">
        <v>24.073</v>
      </c>
      <c r="K13" s="2">
        <v>20.097000000000001</v>
      </c>
      <c r="L13" s="2">
        <v>17.402999999999999</v>
      </c>
      <c r="M13" s="2">
        <v>14.617000000000001</v>
      </c>
    </row>
    <row r="14" spans="1:13" x14ac:dyDescent="0.3">
      <c r="A14" s="3">
        <v>1378</v>
      </c>
      <c r="B14" s="2">
        <v>4.5460000000000003</v>
      </c>
      <c r="C14" s="2">
        <v>2.7970000000000002</v>
      </c>
      <c r="D14" s="2">
        <v>2.036</v>
      </c>
      <c r="E14" s="2">
        <v>1.5</v>
      </c>
      <c r="F14" s="2">
        <v>1.375</v>
      </c>
      <c r="G14" s="2">
        <v>1.4</v>
      </c>
      <c r="H14" s="2">
        <v>1.54</v>
      </c>
      <c r="I14" s="2">
        <v>36.444000000000003</v>
      </c>
      <c r="J14" s="2">
        <v>32.423000000000002</v>
      </c>
      <c r="K14" s="2">
        <v>18.533000000000001</v>
      </c>
      <c r="L14" s="2">
        <v>39.084000000000003</v>
      </c>
      <c r="M14" s="2">
        <v>25.652000000000001</v>
      </c>
    </row>
    <row r="15" spans="1:13" x14ac:dyDescent="0.3">
      <c r="A15" s="3">
        <v>1379</v>
      </c>
      <c r="B15" s="2">
        <v>7.4349999999999996</v>
      </c>
      <c r="C15" s="2">
        <v>6.32</v>
      </c>
      <c r="D15" s="2">
        <v>3.4750000000000001</v>
      </c>
      <c r="E15" s="2">
        <v>2.65</v>
      </c>
      <c r="F15" s="2">
        <v>2.8130000000000002</v>
      </c>
      <c r="G15" s="2">
        <v>4.1289999999999996</v>
      </c>
      <c r="H15" s="2">
        <v>3.911</v>
      </c>
      <c r="I15" s="2">
        <v>26.027000000000001</v>
      </c>
      <c r="J15" s="2">
        <v>24.518000000000001</v>
      </c>
      <c r="K15" s="2">
        <v>25.504000000000001</v>
      </c>
      <c r="L15" s="2">
        <v>25.492999999999999</v>
      </c>
      <c r="M15" s="2">
        <v>9.827</v>
      </c>
    </row>
    <row r="16" spans="1:13" x14ac:dyDescent="0.3">
      <c r="A16" s="3">
        <v>1380</v>
      </c>
      <c r="B16" s="2">
        <v>5.827</v>
      </c>
      <c r="C16" s="2">
        <v>7.6630000000000003</v>
      </c>
      <c r="D16" s="2">
        <v>6</v>
      </c>
      <c r="E16" s="2">
        <v>2.1629999999999998</v>
      </c>
      <c r="F16" s="2">
        <v>2.9929999999999999</v>
      </c>
      <c r="G16" s="2">
        <v>49.591999999999999</v>
      </c>
      <c r="H16" s="2">
        <v>180.19300000000001</v>
      </c>
      <c r="I16" s="2">
        <v>99.081000000000003</v>
      </c>
      <c r="J16" s="2">
        <v>41.725000000000001</v>
      </c>
      <c r="K16" s="2">
        <v>32.453000000000003</v>
      </c>
      <c r="L16" s="2">
        <v>32.978000000000002</v>
      </c>
      <c r="M16" s="2">
        <v>30.295000000000002</v>
      </c>
    </row>
    <row r="17" spans="1:24" x14ac:dyDescent="0.3">
      <c r="A17" s="3">
        <v>1381</v>
      </c>
      <c r="B17" s="2">
        <v>7.0430000000000001</v>
      </c>
      <c r="C17" s="2">
        <v>24.266999999999999</v>
      </c>
      <c r="D17" s="2">
        <v>9.3030000000000008</v>
      </c>
      <c r="E17" s="2">
        <v>3.64</v>
      </c>
      <c r="F17" s="2">
        <v>49.35</v>
      </c>
      <c r="G17" s="2">
        <v>72.254999999999995</v>
      </c>
      <c r="H17" s="2">
        <v>382.53199999999998</v>
      </c>
      <c r="I17" s="2">
        <v>252.18100000000001</v>
      </c>
      <c r="J17" s="2">
        <v>78.426000000000002</v>
      </c>
      <c r="K17" s="2">
        <v>39.857999999999997</v>
      </c>
      <c r="L17" s="2">
        <v>55.860999999999997</v>
      </c>
      <c r="M17" s="2">
        <v>48.31</v>
      </c>
    </row>
    <row r="18" spans="1:24" x14ac:dyDescent="0.3">
      <c r="A18" s="3">
        <v>1382</v>
      </c>
      <c r="B18" s="2">
        <v>15.14</v>
      </c>
      <c r="C18" s="2">
        <v>33.799999999999997</v>
      </c>
      <c r="D18" s="2">
        <v>29.227</v>
      </c>
      <c r="E18" s="2">
        <v>42.953000000000003</v>
      </c>
      <c r="F18" s="2">
        <v>11.05</v>
      </c>
      <c r="G18" s="2">
        <v>86.575999999999993</v>
      </c>
      <c r="H18" s="2">
        <v>91.613</v>
      </c>
      <c r="I18" s="2">
        <v>147.89400000000001</v>
      </c>
      <c r="J18" s="2">
        <v>73.536000000000001</v>
      </c>
      <c r="K18" s="2">
        <v>51.012999999999998</v>
      </c>
      <c r="L18" s="2">
        <v>33.216000000000001</v>
      </c>
      <c r="M18" s="2">
        <v>38.409999999999997</v>
      </c>
    </row>
    <row r="19" spans="1:24" x14ac:dyDescent="0.3">
      <c r="A19" s="3">
        <v>1383</v>
      </c>
      <c r="B19" s="2">
        <v>5.45</v>
      </c>
      <c r="C19" s="2">
        <v>12.087</v>
      </c>
      <c r="D19" s="2">
        <v>13.467000000000001</v>
      </c>
      <c r="E19" s="2">
        <v>23.187000000000001</v>
      </c>
      <c r="F19" s="2">
        <v>54.476999999999997</v>
      </c>
      <c r="G19" s="2">
        <v>138.01</v>
      </c>
      <c r="H19" s="2">
        <v>134.66499999999999</v>
      </c>
      <c r="I19" s="2">
        <v>96.064999999999998</v>
      </c>
      <c r="J19" s="2">
        <v>40.302999999999997</v>
      </c>
      <c r="K19" s="2">
        <v>33.902999999999999</v>
      </c>
      <c r="L19" s="2">
        <v>33.587000000000003</v>
      </c>
      <c r="M19" s="2">
        <v>36.073999999999998</v>
      </c>
    </row>
    <row r="20" spans="1:24" x14ac:dyDescent="0.3">
      <c r="A20" s="3">
        <v>1384</v>
      </c>
      <c r="B20" s="2">
        <v>10.849</v>
      </c>
      <c r="C20" s="2">
        <v>21.492999999999999</v>
      </c>
      <c r="D20" s="2">
        <v>3.109</v>
      </c>
      <c r="E20" s="2">
        <v>2.6070000000000002</v>
      </c>
      <c r="F20" s="2">
        <v>26.256</v>
      </c>
      <c r="G20" s="2">
        <v>96.813999999999993</v>
      </c>
      <c r="H20" s="2">
        <v>117.129</v>
      </c>
      <c r="I20" s="2">
        <v>106.9</v>
      </c>
      <c r="J20" s="2">
        <v>48.326000000000001</v>
      </c>
      <c r="K20" s="2">
        <v>38.909999999999997</v>
      </c>
      <c r="L20" s="2">
        <v>44.332000000000001</v>
      </c>
      <c r="M20" s="2">
        <v>23.265000000000001</v>
      </c>
    </row>
    <row r="21" spans="1:24" x14ac:dyDescent="0.3">
      <c r="A21" s="3">
        <v>1385</v>
      </c>
      <c r="B21" s="2">
        <v>11.959</v>
      </c>
      <c r="C21" s="2">
        <v>23.369</v>
      </c>
      <c r="D21" s="2">
        <v>57.863</v>
      </c>
      <c r="E21" s="2">
        <v>33.594999999999999</v>
      </c>
      <c r="F21" s="2">
        <v>9.0860000000000003</v>
      </c>
      <c r="G21" s="2">
        <v>10.114000000000001</v>
      </c>
      <c r="H21" s="2">
        <v>68.852999999999994</v>
      </c>
      <c r="I21" s="2">
        <v>135.11600000000001</v>
      </c>
      <c r="J21" s="2">
        <v>59.959000000000003</v>
      </c>
      <c r="K21" s="2">
        <v>37.984000000000002</v>
      </c>
      <c r="L21" s="2">
        <v>32.896999999999998</v>
      </c>
      <c r="M21" s="2">
        <v>31.297000000000001</v>
      </c>
    </row>
    <row r="22" spans="1:24" x14ac:dyDescent="0.3">
      <c r="A22" s="3">
        <v>1386</v>
      </c>
      <c r="B22" s="2">
        <v>5.1929999999999996</v>
      </c>
      <c r="C22" s="2">
        <v>5.798</v>
      </c>
      <c r="D22" s="2">
        <v>4.0990000000000002</v>
      </c>
      <c r="E22" s="2">
        <v>6.0949999999999998</v>
      </c>
      <c r="F22" s="2">
        <v>5.9660000000000002</v>
      </c>
      <c r="G22" s="2">
        <v>2.633</v>
      </c>
      <c r="H22" s="2">
        <v>2.3610000000000002</v>
      </c>
      <c r="I22" s="2">
        <v>28.466999999999999</v>
      </c>
      <c r="J22" s="2">
        <v>18.486999999999998</v>
      </c>
      <c r="K22" s="2">
        <v>16.745999999999999</v>
      </c>
      <c r="L22" s="2">
        <v>18.946999999999999</v>
      </c>
      <c r="M22" s="2">
        <v>10.798999999999999</v>
      </c>
    </row>
    <row r="23" spans="1:24" x14ac:dyDescent="0.3">
      <c r="A23" s="3">
        <v>1387</v>
      </c>
      <c r="B23" s="2">
        <v>6.12</v>
      </c>
      <c r="C23" s="2">
        <v>3.4369999999999998</v>
      </c>
      <c r="D23" s="2">
        <v>5.1639999999999997</v>
      </c>
      <c r="E23" s="2">
        <v>6.3040000000000003</v>
      </c>
      <c r="F23" s="2">
        <v>4.6379999999999999</v>
      </c>
      <c r="G23" s="2">
        <v>2.8359999999999999</v>
      </c>
      <c r="H23" s="2">
        <v>54.273000000000003</v>
      </c>
      <c r="I23" s="2">
        <v>66.259</v>
      </c>
      <c r="J23" s="2">
        <v>28.082000000000001</v>
      </c>
      <c r="K23" s="2">
        <v>35.753999999999998</v>
      </c>
      <c r="L23" s="2">
        <v>42.064999999999998</v>
      </c>
      <c r="M23" s="2">
        <v>7.556</v>
      </c>
    </row>
    <row r="24" spans="1:24" x14ac:dyDescent="0.3">
      <c r="A24" s="3">
        <v>1388</v>
      </c>
      <c r="B24" s="2">
        <v>7.4020000000000001</v>
      </c>
      <c r="C24" s="2">
        <v>25.460999999999999</v>
      </c>
      <c r="D24" s="2">
        <v>4.8330000000000002</v>
      </c>
      <c r="E24" s="2">
        <v>3.9740000000000002</v>
      </c>
      <c r="F24" s="2">
        <v>2.4180000000000001</v>
      </c>
      <c r="G24" s="2">
        <v>30.454000000000001</v>
      </c>
      <c r="H24" s="2">
        <v>83.003</v>
      </c>
      <c r="I24" s="2">
        <v>100.807</v>
      </c>
      <c r="J24" s="2">
        <v>51.51</v>
      </c>
      <c r="K24" s="2">
        <v>43.183999999999997</v>
      </c>
      <c r="L24" s="2">
        <v>45.06</v>
      </c>
      <c r="M24" s="2">
        <v>45.918999999999997</v>
      </c>
    </row>
    <row r="25" spans="1:24" x14ac:dyDescent="0.3">
      <c r="A25" s="3">
        <v>1389</v>
      </c>
      <c r="B25" s="2">
        <v>8.8559999999999999</v>
      </c>
      <c r="C25" s="2">
        <v>27.2</v>
      </c>
      <c r="D25" s="2">
        <v>8.7219999999999995</v>
      </c>
      <c r="E25" s="2">
        <v>4.6210000000000004</v>
      </c>
      <c r="F25" s="2">
        <v>5.39</v>
      </c>
      <c r="G25" s="2">
        <v>3.0950000000000002</v>
      </c>
      <c r="H25" s="2">
        <v>1.57</v>
      </c>
      <c r="I25" s="2">
        <v>122.38</v>
      </c>
      <c r="J25" s="2">
        <v>60.387</v>
      </c>
      <c r="K25" s="2">
        <v>48.841999999999999</v>
      </c>
      <c r="L25" s="2">
        <v>46.973999999999997</v>
      </c>
      <c r="M25" s="2">
        <v>38.838000000000001</v>
      </c>
    </row>
    <row r="26" spans="1:24" x14ac:dyDescent="0.3">
      <c r="A26" s="3">
        <v>1390</v>
      </c>
      <c r="B26" s="2">
        <v>13.632</v>
      </c>
      <c r="C26" s="2">
        <v>15.331</v>
      </c>
      <c r="D26" s="2">
        <v>8.1319999999999997</v>
      </c>
      <c r="E26" s="2">
        <v>7.7969999999999997</v>
      </c>
      <c r="F26" s="2">
        <v>7.0490000000000004</v>
      </c>
      <c r="G26" s="2">
        <v>5.43</v>
      </c>
      <c r="H26" s="2">
        <v>172.714</v>
      </c>
      <c r="I26" s="2">
        <v>134.61000000000001</v>
      </c>
      <c r="J26" s="2">
        <v>54.268000000000001</v>
      </c>
      <c r="K26" s="2">
        <v>48.167999999999999</v>
      </c>
      <c r="L26" s="2">
        <v>44.927</v>
      </c>
      <c r="M26" s="2">
        <v>35.279000000000003</v>
      </c>
    </row>
    <row r="27" spans="1:24" x14ac:dyDescent="0.3">
      <c r="A27" s="4">
        <v>1391</v>
      </c>
      <c r="B27">
        <v>53.451999999999998</v>
      </c>
      <c r="C27">
        <v>57.81</v>
      </c>
      <c r="D27">
        <v>56.31</v>
      </c>
      <c r="E27">
        <v>47.319000000000003</v>
      </c>
      <c r="F27">
        <v>45.765000000000001</v>
      </c>
      <c r="G27">
        <v>29.452000000000002</v>
      </c>
      <c r="H27">
        <v>7.4059999999999997</v>
      </c>
      <c r="I27">
        <v>8.3089999999999993</v>
      </c>
      <c r="J27">
        <v>11.564</v>
      </c>
      <c r="K27" s="1">
        <v>12.59</v>
      </c>
      <c r="L27" s="1">
        <v>29.603000000000002</v>
      </c>
      <c r="M27" s="1">
        <v>14.196999999999999</v>
      </c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">
      <c r="A28" s="4">
        <v>1392</v>
      </c>
      <c r="B28">
        <v>45.887</v>
      </c>
      <c r="C28">
        <v>63.015999999999998</v>
      </c>
      <c r="D28">
        <v>61.293999999999997</v>
      </c>
      <c r="E28">
        <v>49.587000000000003</v>
      </c>
      <c r="F28">
        <v>40.838999999999999</v>
      </c>
      <c r="G28">
        <v>11.276999999999999</v>
      </c>
      <c r="H28">
        <v>11.807</v>
      </c>
      <c r="I28">
        <v>12.26</v>
      </c>
      <c r="J28">
        <v>12.536</v>
      </c>
      <c r="K28" s="1">
        <v>13.457000000000001</v>
      </c>
      <c r="L28" s="1">
        <v>25.247</v>
      </c>
      <c r="M28" s="1">
        <v>20.067</v>
      </c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">
      <c r="A29" s="4">
        <v>1393</v>
      </c>
      <c r="B29">
        <v>37.152000000000001</v>
      </c>
      <c r="C29">
        <v>43.097000000000001</v>
      </c>
      <c r="D29">
        <v>39.923000000000002</v>
      </c>
      <c r="E29">
        <v>48.91</v>
      </c>
      <c r="F29">
        <v>36.064</v>
      </c>
      <c r="G29">
        <v>8.6890000000000001</v>
      </c>
      <c r="H29">
        <v>13.032999999999999</v>
      </c>
      <c r="I29">
        <v>19.567</v>
      </c>
      <c r="J29">
        <v>6.6360000000000001</v>
      </c>
      <c r="K29" s="1">
        <v>10.375</v>
      </c>
      <c r="L29" s="1">
        <v>10.872999999999999</v>
      </c>
      <c r="M29" s="1">
        <v>14.363</v>
      </c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">
      <c r="K30" s="1"/>
      <c r="L30" s="1"/>
      <c r="M30" s="1"/>
      <c r="P30" s="1"/>
      <c r="Q30" s="1"/>
      <c r="R30" s="1"/>
      <c r="S30" s="1"/>
      <c r="T30" s="1"/>
      <c r="U30" s="1"/>
      <c r="V30" s="1"/>
      <c r="W30" s="1"/>
      <c r="X3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DF3D-35F4-4F16-8A8C-A43BB164EA3A}">
  <dimension ref="A1:M31"/>
  <sheetViews>
    <sheetView topLeftCell="A10" workbookViewId="0">
      <selection activeCell="O31" sqref="O31"/>
    </sheetView>
  </sheetViews>
  <sheetFormatPr defaultRowHeight="14.4" x14ac:dyDescent="0.3"/>
  <sheetData>
    <row r="1" spans="1:13" x14ac:dyDescent="0.3"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 t="s">
        <v>5</v>
      </c>
      <c r="I1" s="2" t="s">
        <v>4</v>
      </c>
      <c r="J1" s="2" t="s">
        <v>3</v>
      </c>
      <c r="K1" s="2" t="s">
        <v>2</v>
      </c>
      <c r="L1" s="2" t="s">
        <v>1</v>
      </c>
      <c r="M1" s="2" t="s">
        <v>0</v>
      </c>
    </row>
    <row r="2" spans="1:13" x14ac:dyDescent="0.3">
      <c r="A2" s="1" t="s">
        <v>13</v>
      </c>
      <c r="B2" s="5">
        <v>30</v>
      </c>
      <c r="C2" s="5">
        <v>30</v>
      </c>
      <c r="D2" s="5">
        <v>30</v>
      </c>
      <c r="E2" s="5">
        <v>30</v>
      </c>
      <c r="F2" s="5">
        <v>30</v>
      </c>
      <c r="G2" s="5">
        <v>29</v>
      </c>
      <c r="H2" s="5">
        <v>31</v>
      </c>
      <c r="I2" s="5">
        <v>31</v>
      </c>
      <c r="J2" s="5">
        <v>31</v>
      </c>
      <c r="K2" s="5">
        <v>31</v>
      </c>
      <c r="L2" s="5">
        <v>31</v>
      </c>
      <c r="M2" s="5">
        <v>31</v>
      </c>
    </row>
    <row r="3" spans="1:13" x14ac:dyDescent="0.3">
      <c r="A3" s="2" t="s">
        <v>12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3">
      <c r="A4" s="3">
        <v>1366</v>
      </c>
      <c r="B4" s="2">
        <f>'ورودی به سد (دبی)'!B2*60*60*24*(10^(-6))*B$2</f>
        <v>12.62304</v>
      </c>
      <c r="C4" s="2">
        <f>'ورودی به سد (دبی)'!C2*60*60*24*(10^(-6))*C$2</f>
        <v>70.440191999999982</v>
      </c>
      <c r="D4" s="2">
        <f>'ورودی به سد (دبی)'!D2*60*60*24*(10^(-6))*D$2</f>
        <v>67.90521600000001</v>
      </c>
      <c r="E4" s="2">
        <f>'ورودی به سد (دبی)'!E2*60*60*24*(10^(-6))*E$2</f>
        <v>158.77036799999999</v>
      </c>
      <c r="F4" s="2">
        <f>'ورودی به سد (دبی)'!F2*60*60*24*(10^(-6))*F$2</f>
        <v>151.82380799999999</v>
      </c>
      <c r="G4" s="2">
        <f>'ورودی به سد (دبی)'!G2*60*60*24*(10^(-6))*G$2</f>
        <v>813.67856639999991</v>
      </c>
      <c r="H4" s="2">
        <f>'ورودی به سد (دبی)'!H2*60*60*24*(10^(-6))*H$2</f>
        <v>1068.7190975999997</v>
      </c>
      <c r="I4" s="2">
        <f>'ورودی به سد (دبی)'!I2*60*60*24*(10^(-6))*I$2</f>
        <v>931.03594559999999</v>
      </c>
      <c r="J4" s="2">
        <f>'ورودی به سد (دبی)'!J2*60*60*24*(10^(-6))*J$2</f>
        <v>182.66687999999999</v>
      </c>
      <c r="K4" s="2">
        <f>'ورودی به سد (دبی)'!K2*60*60*24*(10^(-6))*K$2</f>
        <v>44.094499200000008</v>
      </c>
      <c r="L4" s="2">
        <f>'ورودی به سد (دبی)'!L2*60*60*24*(10^(-6))*L$2</f>
        <v>14.849049600000001</v>
      </c>
      <c r="M4" s="2">
        <f>'ورودی به سد (دبی)'!M2*60*60*24*(10^(-6))*M$2</f>
        <v>9.9395423999999988</v>
      </c>
    </row>
    <row r="5" spans="1:13" x14ac:dyDescent="0.3">
      <c r="A5" s="3">
        <v>1367</v>
      </c>
      <c r="B5" s="2">
        <f>'ورودی به سد (دبی)'!B3*60*60*24*(10^(-6))*B$2</f>
        <v>13.566528</v>
      </c>
      <c r="C5" s="2">
        <f>'ورودی به سد (دبی)'!C3*60*60*24*(10^(-6))*C$2</f>
        <v>42.301439999999999</v>
      </c>
      <c r="D5" s="2">
        <f>'ورودی به سد (دبی)'!D3*60*60*24*(10^(-6))*D$2</f>
        <v>45.212255999999996</v>
      </c>
      <c r="E5" s="2">
        <f>'ورودی به سد (دبی)'!E3*60*60*24*(10^(-6))*E$2</f>
        <v>56.355264000000005</v>
      </c>
      <c r="F5" s="2">
        <f>'ورودی به سد (دبی)'!F3*60*60*24*(10^(-6))*F$2</f>
        <v>39.971232000000008</v>
      </c>
      <c r="G5" s="2">
        <f>'ورودی به سد (دبی)'!G3*60*60*24*(10^(-6))*G$2</f>
        <v>287.9635968</v>
      </c>
      <c r="H5" s="2">
        <f>'ورودی به سد (دبی)'!H3*60*60*24*(10^(-6))*H$2</f>
        <v>355.90579199999991</v>
      </c>
      <c r="I5" s="2">
        <f>'ورودی به سد (دبی)'!I3*60*60*24*(10^(-6))*I$2</f>
        <v>148.05927359999998</v>
      </c>
      <c r="J5" s="2">
        <f>'ورودی به سد (دبی)'!J3*60*60*24*(10^(-6))*J$2</f>
        <v>29.797199999999997</v>
      </c>
      <c r="K5" s="2">
        <f>'ورودی به سد (دبی)'!K3*60*60*24*(10^(-6))*K$2</f>
        <v>5.8683743999999987</v>
      </c>
      <c r="L5" s="2">
        <f>'ورودی به سد (دبی)'!L3*60*60*24*(10^(-6))*L$2</f>
        <v>3.4176384000000004</v>
      </c>
      <c r="M5" s="2">
        <f>'ورودی به سد (دبی)'!M3*60*60*24*(10^(-6))*M$2</f>
        <v>0.70441920000000002</v>
      </c>
    </row>
    <row r="6" spans="1:13" x14ac:dyDescent="0.3">
      <c r="A6" s="3">
        <v>1368</v>
      </c>
      <c r="B6" s="2">
        <f>'ورودی به سد (دبی)'!B4*60*60*24*(10^(-6))*B$2</f>
        <v>2.16432</v>
      </c>
      <c r="C6" s="2">
        <f>'ورودی به سد (دبی)'!C4*60*60*24*(10^(-6))*C$2</f>
        <v>44.870111999999999</v>
      </c>
      <c r="D6" s="2">
        <f>'ورودی به سد (دبی)'!D4*60*60*24*(10^(-6))*D$2</f>
        <v>59.289407999999987</v>
      </c>
      <c r="E6" s="2">
        <f>'ورودی به سد (دبی)'!E4*60*60*24*(10^(-6))*E$2</f>
        <v>38.657088000000002</v>
      </c>
      <c r="F6" s="2">
        <f>'ورودی به سد (دبی)'!F4*60*60*24*(10^(-6))*F$2</f>
        <v>52.438752000000001</v>
      </c>
      <c r="G6" s="2">
        <f>'ورودی به سد (دبی)'!G4*60*60*24*(10^(-6))*G$2</f>
        <v>930.88051199999995</v>
      </c>
      <c r="H6" s="2">
        <f>'ورودی به سد (دبی)'!H4*60*60*24*(10^(-6))*H$2</f>
        <v>406.01062080000003</v>
      </c>
      <c r="I6" s="2">
        <f>'ورودی به سد (دبی)'!I4*60*60*24*(10^(-6))*I$2</f>
        <v>265.70799360000007</v>
      </c>
      <c r="J6" s="2">
        <f>'ورودی به سد (دبی)'!J4*60*60*24*(10^(-6))*J$2</f>
        <v>40.433126399999999</v>
      </c>
      <c r="K6" s="2">
        <f>'ورودی به سد (دبی)'!K4*60*60*24*(10^(-6))*K$2</f>
        <v>8.9297855999999989</v>
      </c>
      <c r="L6" s="2">
        <f>'ورودی به سد (دبی)'!L4*60*60*24*(10^(-6))*L$2</f>
        <v>3.8354687999999992</v>
      </c>
      <c r="M6" s="2">
        <f>'ورودی به سد (دبی)'!M4*60*60*24*(10^(-6))*M$2</f>
        <v>3.8890368</v>
      </c>
    </row>
    <row r="7" spans="1:13" x14ac:dyDescent="0.3">
      <c r="A7" s="3">
        <v>1369</v>
      </c>
      <c r="B7" s="2">
        <f>'ورودی به سد (دبی)'!B5*60*60*24*(10^(-6))*B$2</f>
        <v>4.1705279999999991</v>
      </c>
      <c r="C7" s="2">
        <f>'ورودی به سد (دبی)'!C5*60*60*24*(10^(-6))*C$2</f>
        <v>14.670719999999999</v>
      </c>
      <c r="D7" s="2">
        <f>'ورودی به سد (دبی)'!D5*60*60*24*(10^(-6))*D$2</f>
        <v>15.461279999999999</v>
      </c>
      <c r="E7" s="2">
        <f>'ورودی به سد (دبی)'!E5*60*60*24*(10^(-6))*E$2</f>
        <v>14.743296000000001</v>
      </c>
      <c r="F7" s="2">
        <f>'ورودی به سد (دبی)'!F5*60*60*24*(10^(-6))*F$2</f>
        <v>29.346623999999998</v>
      </c>
      <c r="G7" s="2">
        <f>'ورودی به سد (دبی)'!G5*60*60*24*(10^(-6))*G$2</f>
        <v>156.47221439999998</v>
      </c>
      <c r="H7" s="2">
        <f>'ورودی به سد (دبی)'!H5*60*60*24*(10^(-6))*H$2</f>
        <v>514.48582080000006</v>
      </c>
      <c r="I7" s="2">
        <f>'ورودی به سد (دبی)'!I5*60*60*24*(10^(-6))*I$2</f>
        <v>175.30127999999999</v>
      </c>
      <c r="J7" s="2">
        <f>'ورودی به سد (دبی)'!J5*60*60*24*(10^(-6))*J$2</f>
        <v>24.772521600000005</v>
      </c>
      <c r="K7" s="2">
        <f>'ورودی به سد (دبی)'!K5*60*60*24*(10^(-6))*K$2</f>
        <v>11.0001888</v>
      </c>
      <c r="L7" s="2">
        <f>'ورودی به سد (دبی)'!L5*60*60*24*(10^(-6))*L$2</f>
        <v>2.865888</v>
      </c>
      <c r="M7" s="2">
        <f>'ورودی به سد (دبی)'!M5*60*60*24*(10^(-6))*M$2</f>
        <v>0.80887680000000006</v>
      </c>
    </row>
    <row r="8" spans="1:13" x14ac:dyDescent="0.3">
      <c r="A8" s="3">
        <v>1370</v>
      </c>
      <c r="B8" s="2">
        <f>'ورودی به سد (دبی)'!B6*60*60*24*(10^(-6))*B$2</f>
        <v>6.016032</v>
      </c>
      <c r="C8" s="2">
        <f>'ورودی به سد (دبی)'!C6*60*60*24*(10^(-6))*C$2</f>
        <v>15.99264</v>
      </c>
      <c r="D8" s="2">
        <f>'ورودی به سد (دبی)'!D6*60*60*24*(10^(-6))*D$2</f>
        <v>113.20041599999999</v>
      </c>
      <c r="E8" s="2">
        <f>'ورودی به سد (دبی)'!E6*60*60*24*(10^(-6))*E$2</f>
        <v>58.361471999999992</v>
      </c>
      <c r="F8" s="2">
        <f>'ورودی به سد (دبی)'!F6*60*60*24*(10^(-6))*F$2</f>
        <v>58.001183999999988</v>
      </c>
      <c r="G8" s="2">
        <f>'ورودی به سد (دبی)'!G6*60*60*24*(10^(-6))*G$2</f>
        <v>145.287216</v>
      </c>
      <c r="H8" s="2">
        <f>'ورودی به سد (دبی)'!H6*60*60*24*(10^(-6))*H$2</f>
        <v>685.30345920000013</v>
      </c>
      <c r="I8" s="2">
        <f>'ورودی به سد (دبی)'!I6*60*60*24*(10^(-6))*I$2</f>
        <v>1007.4078431999999</v>
      </c>
      <c r="J8" s="2">
        <f>'ورودی به سد (دبی)'!J6*60*60*24*(10^(-6))*J$2</f>
        <v>431.79557760000006</v>
      </c>
      <c r="K8" s="2">
        <f>'ورودی به سد (دبی)'!K6*60*60*24*(10^(-6))*K$2</f>
        <v>49.598611199999993</v>
      </c>
      <c r="L8" s="2">
        <f>'ورودی به سد (دبی)'!L6*60*60*24*(10^(-6))*L$2</f>
        <v>15.2642016</v>
      </c>
      <c r="M8" s="2">
        <f>'ورودی به سد (دبی)'!M6*60*60*24*(10^(-6))*M$2</f>
        <v>12.170649600000001</v>
      </c>
    </row>
    <row r="9" spans="1:13" x14ac:dyDescent="0.3">
      <c r="A9" s="3">
        <v>1371</v>
      </c>
      <c r="B9" s="2">
        <f>'ورودی به سد (دبی)'!B7*60*60*24*(10^(-6))*B$2</f>
        <v>10.865664000000001</v>
      </c>
      <c r="C9" s="2">
        <f>'ورودی به سد (دبی)'!C7*60*60*24*(10^(-6))*C$2</f>
        <v>27.742175999999997</v>
      </c>
      <c r="D9" s="2">
        <f>'ورودی به سد (دبی)'!D7*60*60*24*(10^(-6))*D$2</f>
        <v>59.95036799999999</v>
      </c>
      <c r="E9" s="2">
        <f>'ورودی به سد (دبی)'!E7*60*60*24*(10^(-6))*E$2</f>
        <v>62.236511999999991</v>
      </c>
      <c r="F9" s="2">
        <f>'ورودی به سد (دبی)'!F7*60*60*24*(10^(-6))*F$2</f>
        <v>42.550272</v>
      </c>
      <c r="G9" s="2">
        <f>'ورودی به سد (دبی)'!G7*60*60*24*(10^(-6))*G$2</f>
        <v>193.70543040000001</v>
      </c>
      <c r="H9" s="2">
        <f>'ورودی به سد (دبی)'!H7*60*60*24*(10^(-6))*H$2</f>
        <v>429.1439615999999</v>
      </c>
      <c r="I9" s="2">
        <f>'ورودی به سد (دبی)'!I7*60*60*24*(10^(-6))*I$2</f>
        <v>357.70567680000005</v>
      </c>
      <c r="J9" s="2">
        <f>'ورودی به سد (دبی)'!J7*60*60*24*(10^(-6))*J$2</f>
        <v>115.85419199999995</v>
      </c>
      <c r="K9" s="2">
        <f>'ورودی به سد (دبی)'!K7*60*60*24*(10^(-6))*K$2</f>
        <v>18.063129599999996</v>
      </c>
      <c r="L9" s="2">
        <f>'ورودی به سد (دبی)'!L7*60*60*24*(10^(-6))*L$2</f>
        <v>9.3797567999999991</v>
      </c>
      <c r="M9" s="2">
        <f>'ورودی به سد (دبی)'!M7*60*60*24*(10^(-6))*M$2</f>
        <v>5.7317759999999973</v>
      </c>
    </row>
    <row r="10" spans="1:13" x14ac:dyDescent="0.3">
      <c r="A10" s="3">
        <v>1372</v>
      </c>
      <c r="B10" s="2">
        <f>'ورودی به سد (دبی)'!B8*60*60*24*(10^(-6))*B$2</f>
        <v>6.5499839999999994</v>
      </c>
      <c r="C10" s="2">
        <f>'ورودی به سد (دبی)'!C8*60*60*24*(10^(-6))*C$2</f>
        <v>145.03535999999997</v>
      </c>
      <c r="D10" s="2">
        <f>'ورودی به سد (دبی)'!D8*60*60*24*(10^(-6))*D$2</f>
        <v>213.22310399999995</v>
      </c>
      <c r="E10" s="2">
        <f>'ورودی به سد (دبی)'!E8*60*60*24*(10^(-6))*E$2</f>
        <v>320.41267199999993</v>
      </c>
      <c r="F10" s="2">
        <f>'ورودی به سد (دبی)'!F8*60*60*24*(10^(-6))*F$2</f>
        <v>247.57487999999998</v>
      </c>
      <c r="G10" s="2">
        <f>'ورودی به سد (دبی)'!G8*60*60*24*(10^(-6))*G$2</f>
        <v>298.33678080000004</v>
      </c>
      <c r="H10" s="2">
        <f>'ورودی به سد (دبی)'!H8*60*60*24*(10^(-6))*H$2</f>
        <v>480.05231040000007</v>
      </c>
      <c r="I10" s="2">
        <f>'ورودی به سد (دبی)'!I8*60*60*24*(10^(-6))*I$2</f>
        <v>399.36551040000006</v>
      </c>
      <c r="J10" s="2">
        <f>'ورودی به سد (دبی)'!J8*60*60*24*(10^(-6))*J$2</f>
        <v>110.68487999999999</v>
      </c>
      <c r="K10" s="2">
        <f>'ورودی به سد (دبی)'!K8*60*60*24*(10^(-6))*K$2</f>
        <v>21.392380800000002</v>
      </c>
      <c r="L10" s="2">
        <f>'ورودی به سد (دبی)'!L8*60*60*24*(10^(-6))*L$2</f>
        <v>9.9047231999999976</v>
      </c>
      <c r="M10" s="2">
        <f>'ورودی به سد (دبی)'!M8*60*60*24*(10^(-6))*M$2</f>
        <v>6.1201440000000016</v>
      </c>
    </row>
    <row r="11" spans="1:13" x14ac:dyDescent="0.3">
      <c r="A11" s="3">
        <v>1373</v>
      </c>
      <c r="B11" s="2">
        <f>'ورودی به سد (دبی)'!B9*60*60*24*(10^(-6))*B$2</f>
        <v>8.567423999999999</v>
      </c>
      <c r="C11" s="2">
        <f>'ورودی به سد (دبی)'!C9*60*60*24*(10^(-6))*C$2</f>
        <v>114.54047999999996</v>
      </c>
      <c r="D11" s="2">
        <f>'ورودی به سد (دبی)'!D9*60*60*24*(10^(-6))*D$2</f>
        <v>128.07331199999996</v>
      </c>
      <c r="E11" s="2">
        <f>'ورودی به سد (دبی)'!E9*60*60*24*(10^(-6))*E$2</f>
        <v>128.26166400000002</v>
      </c>
      <c r="F11" s="2">
        <f>'ورودی به سد (دبی)'!F9*60*60*24*(10^(-6))*F$2</f>
        <v>119.78323199999997</v>
      </c>
      <c r="G11" s="2">
        <f>'ورودی به سد (دبی)'!G9*60*60*24*(10^(-6))*G$2</f>
        <v>149.18425920000001</v>
      </c>
      <c r="H11" s="2">
        <f>'ورودی به سد (دبی)'!H9*60*60*24*(10^(-6))*H$2</f>
        <v>373.66536959999996</v>
      </c>
      <c r="I11" s="2">
        <f>'ورودی به سد (دبی)'!I9*60*60*24*(10^(-6))*I$2</f>
        <v>371.92262399999987</v>
      </c>
      <c r="J11" s="2">
        <f>'ورودی به سد (دبی)'!J9*60*60*24*(10^(-6))*J$2</f>
        <v>166.16436480000002</v>
      </c>
      <c r="K11" s="2">
        <f>'ورودی به سد (دبی)'!K9*60*60*24*(10^(-6))*K$2</f>
        <v>35.326310399999997</v>
      </c>
      <c r="L11" s="2">
        <f>'ورودی به سد (دبی)'!L9*60*60*24*(10^(-6))*L$2</f>
        <v>9.9975744000000013</v>
      </c>
      <c r="M11" s="2">
        <f>'ورودی به سد (دبی)'!M9*60*60*24*(10^(-6))*M$2</f>
        <v>5.412153599999999</v>
      </c>
    </row>
    <row r="12" spans="1:13" x14ac:dyDescent="0.3">
      <c r="A12" s="3">
        <v>1374</v>
      </c>
      <c r="B12" s="2">
        <f>'ورودی به سد (دبی)'!B10*60*60*24*(10^(-6))*B$2</f>
        <v>5.2297920000000007</v>
      </c>
      <c r="C12" s="2">
        <f>'ورودی به سد (دبی)'!C10*60*60*24*(10^(-6))*C$2</f>
        <v>9.3381120000000006</v>
      </c>
      <c r="D12" s="2">
        <f>'ورودی به سد (دبی)'!D10*60*60*24*(10^(-6))*D$2</f>
        <v>12.646367999999999</v>
      </c>
      <c r="E12" s="2">
        <f>'ورودی به سد (دبی)'!E10*60*60*24*(10^(-6))*E$2</f>
        <v>22.110624000000001</v>
      </c>
      <c r="F12" s="2">
        <f>'ورودی به سد (دبی)'!F10*60*60*24*(10^(-6))*F$2</f>
        <v>68.514336</v>
      </c>
      <c r="G12" s="2">
        <f>'ورودی به سد (دبی)'!G10*60*60*24*(10^(-6))*G$2</f>
        <v>98.786620799999994</v>
      </c>
      <c r="H12" s="2">
        <f>'ورودی به سد (دبی)'!H10*60*60*24*(10^(-6))*H$2</f>
        <v>341.67634559999993</v>
      </c>
      <c r="I12" s="2">
        <f>'ورودی به سد (دبی)'!I10*60*60*24*(10^(-6))*I$2</f>
        <v>318.69745919999997</v>
      </c>
      <c r="J12" s="2">
        <f>'ورودی به سد (دبی)'!J10*60*60*24*(10^(-6))*J$2</f>
        <v>100.02216959999998</v>
      </c>
      <c r="K12" s="2">
        <f>'ورودی به سد (دبی)'!K10*60*60*24*(10^(-6))*K$2</f>
        <v>12.434025599999998</v>
      </c>
      <c r="L12" s="2">
        <f>'ورودی به سد (دبی)'!L10*60*60*24*(10^(-6))*L$2</f>
        <v>4.2881184000000001</v>
      </c>
      <c r="M12" s="2">
        <f>'ورودی به سد (دبی)'!M10*60*60*24*(10^(-6))*M$2</f>
        <v>2.2846751999999997</v>
      </c>
    </row>
    <row r="13" spans="1:13" x14ac:dyDescent="0.3">
      <c r="A13" s="3">
        <v>1375</v>
      </c>
      <c r="B13" s="2">
        <f>'ورودی به سد (دبی)'!B11*60*60*24*(10^(-6))*B$2</f>
        <v>3.7946880000000003</v>
      </c>
      <c r="C13" s="2">
        <f>'ورودی به سد (دبی)'!C11*60*60*24*(10^(-6))*C$2</f>
        <v>9.3000959999999981</v>
      </c>
      <c r="D13" s="2">
        <f>'ورودی به سد (دبی)'!D11*60*60*24*(10^(-6))*D$2</f>
        <v>15.842304</v>
      </c>
      <c r="E13" s="2">
        <f>'ورودی به سد (دبی)'!E11*60*60*24*(10^(-6))*E$2</f>
        <v>28.200959999999998</v>
      </c>
      <c r="F13" s="2">
        <f>'ورودی به سد (دبی)'!F11*60*60*24*(10^(-6))*F$2</f>
        <v>26.858304</v>
      </c>
      <c r="G13" s="2">
        <f>'ورودی به سد (دبی)'!G11*60*60*24*(10^(-6))*G$2</f>
        <v>53.264044800000015</v>
      </c>
      <c r="H13" s="2">
        <f>'ورودی به سد (دبی)'!H11*60*60*24*(10^(-6))*H$2</f>
        <v>308.16063359999998</v>
      </c>
      <c r="I13" s="2">
        <f>'ورودی به سد (دبی)'!I11*60*60*24*(10^(-6))*I$2</f>
        <v>319.31081279999995</v>
      </c>
      <c r="J13" s="2">
        <f>'ورودی به سد (دبی)'!J11*60*60*24*(10^(-6))*J$2</f>
        <v>60.74879039999999</v>
      </c>
      <c r="K13" s="2">
        <f>'ورودی به سد (دبی)'!K11*60*60*24*(10^(-6))*K$2</f>
        <v>13.635734399999999</v>
      </c>
      <c r="L13" s="2">
        <f>'ورودی به سد (دبی)'!L11*60*60*24*(10^(-6))*L$2</f>
        <v>2.785536</v>
      </c>
      <c r="M13" s="2">
        <f>'ورودی به سد (دبی)'!M11*60*60*24*(10^(-6))*M$2</f>
        <v>0.84101760000000003</v>
      </c>
    </row>
    <row r="14" spans="1:13" x14ac:dyDescent="0.3">
      <c r="A14" s="3">
        <v>1376</v>
      </c>
      <c r="B14" s="2">
        <f>'ورودی به سد (دبی)'!B12*60*60*24*(10^(-6))*B$2</f>
        <v>4.015007999999999</v>
      </c>
      <c r="C14" s="2">
        <f>'ورودی به سد (دبی)'!C12*60*60*24*(10^(-6))*C$2</f>
        <v>34.349183999999994</v>
      </c>
      <c r="D14" s="2">
        <f>'ورودی به سد (دبی)'!D12*60*60*24*(10^(-6))*D$2</f>
        <v>21.363263999999997</v>
      </c>
      <c r="E14" s="2">
        <f>'ورودی به سد (دبی)'!E12*60*60*24*(10^(-6))*E$2</f>
        <v>25.326431999999997</v>
      </c>
      <c r="F14" s="2">
        <f>'ورودی به سد (دبی)'!F12*60*60*24*(10^(-6))*F$2</f>
        <v>87.754752000000011</v>
      </c>
      <c r="G14" s="2">
        <f>'ورودی به سد (دبی)'!G12*60*60*24*(10^(-6))*G$2</f>
        <v>193.8231936</v>
      </c>
      <c r="H14" s="2">
        <f>'ورودی به سد (دبی)'!H12*60*60*24*(10^(-6))*H$2</f>
        <v>625.31801279999991</v>
      </c>
      <c r="I14" s="2">
        <f>'ورودی به سد (دبی)'!I12*60*60*24*(10^(-6))*I$2</f>
        <v>279.6945983999999</v>
      </c>
      <c r="J14" s="2">
        <f>'ورودی به سد (دبی)'!J12*60*60*24*(10^(-6))*J$2</f>
        <v>40.569724800000003</v>
      </c>
      <c r="K14" s="2">
        <f>'ورودی به سد (دبی)'!K12*60*60*24*(10^(-6))*K$2</f>
        <v>10.102924800000002</v>
      </c>
      <c r="L14" s="2">
        <f>'ورودی به سد (دبی)'!L12*60*60*24*(10^(-6))*L$2</f>
        <v>4.3791840000000004</v>
      </c>
      <c r="M14" s="2">
        <f>'ورودی به سد (دبی)'!M12*60*60*24*(10^(-6))*M$2</f>
        <v>2.6248320000000001</v>
      </c>
    </row>
    <row r="15" spans="1:13" x14ac:dyDescent="0.3">
      <c r="A15" s="3">
        <v>1377</v>
      </c>
      <c r="B15" s="2">
        <f>'ورودی به سد (دبی)'!B13*60*60*24*(10^(-6))*B$2</f>
        <v>4.1420159999999999</v>
      </c>
      <c r="C15" s="2">
        <f>'ورودی به سد (دبی)'!C13*60*60*24*(10^(-6))*C$2</f>
        <v>8.6780159999999995</v>
      </c>
      <c r="D15" s="2">
        <f>'ورودی به سد (دبی)'!D13*60*60*24*(10^(-6))*D$2</f>
        <v>15.751583999999999</v>
      </c>
      <c r="E15" s="2">
        <f>'ورودی به سد (دبی)'!E13*60*60*24*(10^(-6))*E$2</f>
        <v>19.784735999999999</v>
      </c>
      <c r="F15" s="2">
        <f>'ورودی به سد (دبی)'!F13*60*60*24*(10^(-6))*F$2</f>
        <v>42.042239999999993</v>
      </c>
      <c r="G15" s="2">
        <f>'ورودی به سد (دبی)'!G13*60*60*24*(10^(-6))*G$2</f>
        <v>50.084438399999996</v>
      </c>
      <c r="H15" s="2">
        <f>'ورودی به سد (دبی)'!H13*60*60*24*(10^(-6))*H$2</f>
        <v>85.706121600000003</v>
      </c>
      <c r="I15" s="2">
        <f>'ورودی به سد (دبی)'!I13*60*60*24*(10^(-6))*I$2</f>
        <v>30.632860799999996</v>
      </c>
      <c r="J15" s="2">
        <f>'ورودی به سد (دبی)'!J13*60*60*24*(10^(-6))*J$2</f>
        <v>4.0711680000000001</v>
      </c>
      <c r="K15" s="2">
        <f>'ورودی به سد (دبی)'!K13*60*60*24*(10^(-6))*K$2</f>
        <v>1.5695424000000002</v>
      </c>
      <c r="L15" s="2">
        <f>'ورودی به سد (دبی)'!L13*60*60*24*(10^(-6))*L$2</f>
        <v>2.0891519999999999</v>
      </c>
      <c r="M15" s="2">
        <f>'ورودی به سد (دبی)'!M13*60*60*24*(10^(-6))*M$2</f>
        <v>0.40443840000000003</v>
      </c>
    </row>
    <row r="16" spans="1:13" x14ac:dyDescent="0.3">
      <c r="A16" s="3">
        <v>1378</v>
      </c>
      <c r="B16" s="2">
        <f>'ورودی به سد (دبی)'!B14*60*60*24*(10^(-6))*B$2</f>
        <v>0.95644800000000008</v>
      </c>
      <c r="C16" s="2">
        <f>'ورودی به سد (دبی)'!C14*60*60*24*(10^(-6))*C$2</f>
        <v>2.0865600000000009</v>
      </c>
      <c r="D16" s="2">
        <f>'ورودی به سد (دبی)'!D14*60*60*24*(10^(-6))*D$2</f>
        <v>22.376735999999998</v>
      </c>
      <c r="E16" s="2">
        <f>'ورودی به سد (دبی)'!E14*60*60*24*(10^(-6))*E$2</f>
        <v>26.181792000000009</v>
      </c>
      <c r="F16" s="2">
        <f>'ورودی به سد (دبی)'!F14*60*60*24*(10^(-6))*F$2</f>
        <v>29.154816</v>
      </c>
      <c r="G16" s="2">
        <f>'ورودی به سد (دبی)'!G14*60*60*24*(10^(-6))*G$2</f>
        <v>90.096364799999989</v>
      </c>
      <c r="H16" s="2">
        <f>'ورودی به سد (دبی)'!H14*60*60*24*(10^(-6))*H$2</f>
        <v>277.80632639999999</v>
      </c>
      <c r="I16" s="2">
        <f>'ورودی به سد (دبی)'!I14*60*60*24*(10^(-6))*I$2</f>
        <v>104.88078719999999</v>
      </c>
      <c r="J16" s="2">
        <f>'ورودی به سد (دبی)'!J14*60*60*24*(10^(-6))*J$2</f>
        <v>12.925958400000001</v>
      </c>
      <c r="K16" s="2">
        <f>'ورودی به سد (دبی)'!K14*60*60*24*(10^(-6))*K$2</f>
        <v>2.1400416</v>
      </c>
      <c r="L16" s="2">
        <f>'ورودی به سد (دبی)'!L14*60*60*24*(10^(-6))*L$2</f>
        <v>0.65620800000000012</v>
      </c>
      <c r="M16" s="2">
        <f>'ورودی به سد (دبی)'!M14*60*60*24*(10^(-6))*M$2</f>
        <v>0.3776544</v>
      </c>
    </row>
    <row r="17" spans="1:13" x14ac:dyDescent="0.3">
      <c r="A17" s="3">
        <v>1379</v>
      </c>
      <c r="B17" s="2">
        <f>'ورودی به سد (دبی)'!B15*60*60*24*(10^(-6))*B$2</f>
        <v>2.4572160000000003</v>
      </c>
      <c r="C17" s="2">
        <f>'ورودی به سد (دبی)'!C15*60*60*24*(10^(-6))*C$2</f>
        <v>3.3307200000000008</v>
      </c>
      <c r="D17" s="2">
        <f>'ورودی به سد (دبی)'!D15*60*60*24*(10^(-6))*D$2</f>
        <v>8.4265920000000012</v>
      </c>
      <c r="E17" s="2">
        <f>'ورودی به سد (دبی)'!E15*60*60*24*(10^(-6))*E$2</f>
        <v>23.340959999999995</v>
      </c>
      <c r="F17" s="2">
        <f>'ورودی به سد (دبی)'!F15*60*60*24*(10^(-6))*F$2</f>
        <v>38.56118399999999</v>
      </c>
      <c r="G17" s="2">
        <f>'ورودی به سد (دبی)'!G15*60*60*24*(10^(-6))*G$2</f>
        <v>136.40736960000001</v>
      </c>
      <c r="H17" s="2">
        <f>'ورودی به سد (دبی)'!H15*60*60*24*(10^(-6))*H$2</f>
        <v>166.58040960000002</v>
      </c>
      <c r="I17" s="2">
        <f>'ورودی به سد (دبی)'!I15*60*60*24*(10^(-6))*I$2</f>
        <v>51.310108800000002</v>
      </c>
      <c r="J17" s="2">
        <f>'ورودی به سد (دبی)'!J15*60*60*24*(10^(-6))*J$2</f>
        <v>7.6120128000000005</v>
      </c>
      <c r="K17" s="2">
        <f>'ورودی به سد (دبی)'!K15*60*60*24*(10^(-6))*K$2</f>
        <v>1.0793951999999998</v>
      </c>
      <c r="L17" s="2">
        <f>'ورودی به سد (دبی)'!L15*60*60*24*(10^(-6))*L$2</f>
        <v>0.72048960000000006</v>
      </c>
      <c r="M17" s="2">
        <f>'ورودی به سد (دبی)'!M15*60*60*24*(10^(-6))*M$2</f>
        <v>0.23837759999999997</v>
      </c>
    </row>
    <row r="18" spans="1:13" x14ac:dyDescent="0.3">
      <c r="A18" s="3">
        <v>1380</v>
      </c>
      <c r="B18" s="2">
        <f>'ورودی به سد (دبی)'!B16*60*60*24*(10^(-6))*B$2</f>
        <v>0.33696000000000004</v>
      </c>
      <c r="C18" s="2">
        <f>'ورودی به سد (دبی)'!C16*60*60*24*(10^(-6))*C$2</f>
        <v>6.140448000000001</v>
      </c>
      <c r="D18" s="2">
        <f>'ورودی به سد (دبی)'!D16*60*60*24*(10^(-6))*D$2</f>
        <v>59.800031999999995</v>
      </c>
      <c r="E18" s="2">
        <f>'ورودی به سد (دبی)'!E16*60*60*24*(10^(-6))*E$2</f>
        <v>228.95913599999997</v>
      </c>
      <c r="F18" s="2">
        <f>'ورودی به سد (دبی)'!F16*60*60*24*(10^(-6))*F$2</f>
        <v>125.81568000000001</v>
      </c>
      <c r="G18" s="2">
        <f>'ورودی به سد (دبی)'!G16*60*60*24*(10^(-6))*G$2</f>
        <v>178.94243520000001</v>
      </c>
      <c r="H18" s="2">
        <f>'ورودی به سد (دبی)'!H16*60*60*24*(10^(-6))*H$2</f>
        <v>464.26849919999995</v>
      </c>
      <c r="I18" s="2">
        <f>'ورودی به سد (دبی)'!I16*60*60*24*(10^(-6))*I$2</f>
        <v>255.23009280000002</v>
      </c>
      <c r="J18" s="2">
        <f>'ورودی به سد (دبی)'!J16*60*60*24*(10^(-6))*J$2</f>
        <v>57.625775999999995</v>
      </c>
      <c r="K18" s="2">
        <f>'ورودی به سد (دبی)'!K16*60*60*24*(10^(-6))*K$2</f>
        <v>7.9923455999999993</v>
      </c>
      <c r="L18" s="2">
        <f>'ورودی به سد (دبی)'!L16*60*60*24*(10^(-6))*L$2</f>
        <v>1.6365023999999999</v>
      </c>
      <c r="M18" s="2">
        <f>'ورودی به سد (دبی)'!M16*60*60*24*(10^(-6))*M$2</f>
        <v>0.56514240000000004</v>
      </c>
    </row>
    <row r="19" spans="1:13" x14ac:dyDescent="0.3">
      <c r="A19" s="3">
        <v>1381</v>
      </c>
      <c r="B19" s="2">
        <f>'ورودی به سد (دبی)'!B17*60*60*24*(10^(-6))*B$2</f>
        <v>3.7687679999999992</v>
      </c>
      <c r="C19" s="2">
        <f>'ورودی به سد (دبی)'!C17*60*60*24*(10^(-6))*C$2</f>
        <v>10.645344</v>
      </c>
      <c r="D19" s="2">
        <f>'ورودی به سد (دبی)'!D17*60*60*24*(10^(-6))*D$2</f>
        <v>75.800447999999989</v>
      </c>
      <c r="E19" s="2">
        <f>'ورودی به سد (دبی)'!E17*60*60*24*(10^(-6))*E$2</f>
        <v>104.72716799999999</v>
      </c>
      <c r="F19" s="2">
        <f>'ورودی به سد (دبی)'!F17*60*60*24*(10^(-6))*F$2</f>
        <v>121.39113599999999</v>
      </c>
      <c r="G19" s="2">
        <f>'ورودی به سد (دبی)'!G17*60*60*24*(10^(-6))*G$2</f>
        <v>437.89118400000012</v>
      </c>
      <c r="H19" s="2">
        <f>'ورودی به سد (دبی)'!H17*60*60*24*(10^(-6))*H$2</f>
        <v>1042.7814719999999</v>
      </c>
      <c r="I19" s="2">
        <f>'ورودی به سد (دبی)'!I17*60*60*24*(10^(-6))*I$2</f>
        <v>627.84374400000013</v>
      </c>
      <c r="J19" s="2">
        <f>'ورودی به سد (دبی)'!J17*60*60*24*(10^(-6))*J$2</f>
        <v>161.91731520000002</v>
      </c>
      <c r="K19" s="2">
        <f>'ورودی به سد (دبی)'!K17*60*60*24*(10^(-6))*K$2</f>
        <v>30.715891200000002</v>
      </c>
      <c r="L19" s="2">
        <f>'ورودی به سد (دبی)'!L17*60*60*24*(10^(-6))*L$2</f>
        <v>8.0191295999999994</v>
      </c>
      <c r="M19" s="2">
        <f>'ورودی به سد (دبی)'!M17*60*60*24*(10^(-6))*M$2</f>
        <v>4.0952735999999987</v>
      </c>
    </row>
    <row r="20" spans="1:13" x14ac:dyDescent="0.3">
      <c r="A20" s="3">
        <v>1382</v>
      </c>
      <c r="B20" s="2">
        <f>'ورودی به سد (دبی)'!B18*60*60*24*(10^(-6))*B$2</f>
        <v>6.0497279999999991</v>
      </c>
      <c r="C20" s="2">
        <f>'ورودی به سد (دبی)'!C18*60*60*24*(10^(-6))*C$2</f>
        <v>34.618751999999994</v>
      </c>
      <c r="D20" s="2">
        <f>'ورودی به سد (دبی)'!D18*60*60*24*(10^(-6))*D$2</f>
        <v>60.253632000000003</v>
      </c>
      <c r="E20" s="2">
        <f>'ورودی به سد (دبی)'!E18*60*60*24*(10^(-6))*E$2</f>
        <v>109.867104</v>
      </c>
      <c r="F20" s="2">
        <f>'ورودی به سد (دبی)'!F18*60*60*24*(10^(-6))*F$2</f>
        <v>169.94707199999999</v>
      </c>
      <c r="G20" s="2">
        <f>'ورودی به سد (دبی)'!G18*60*60*24*(10^(-6))*G$2</f>
        <v>414.55653119999994</v>
      </c>
      <c r="H20" s="2">
        <f>'ورودی به سد (دبی)'!H18*60*60*24*(10^(-6))*H$2</f>
        <v>302.30565119999994</v>
      </c>
      <c r="I20" s="2">
        <f>'ورودی به سد (دبی)'!I18*60*60*24*(10^(-6))*I$2</f>
        <v>389.49292799999995</v>
      </c>
      <c r="J20" s="2">
        <f>'ورودی به سد (دبی)'!J18*60*60*24*(10^(-6))*J$2</f>
        <v>118.96649279999998</v>
      </c>
      <c r="K20" s="2">
        <f>'ورودی به سد (دبی)'!K18*60*60*24*(10^(-6))*K$2</f>
        <v>19.552320000000002</v>
      </c>
      <c r="L20" s="2">
        <f>'ورودی به سد (دبی)'!L18*60*60*24*(10^(-6))*L$2</f>
        <v>4.3202591999999997</v>
      </c>
      <c r="M20" s="2">
        <f>'ورودی به سد (دبی)'!M18*60*60*24*(10^(-6))*M$2</f>
        <v>0.90797760000000005</v>
      </c>
    </row>
    <row r="21" spans="1:13" x14ac:dyDescent="0.3">
      <c r="A21" s="3">
        <v>1383</v>
      </c>
      <c r="B21" s="2">
        <f>'ورودی به سد (دبی)'!B19*60*60*24*(10^(-6))*B$2</f>
        <v>2.755296</v>
      </c>
      <c r="C21" s="2">
        <f>'ورودی به سد (دبی)'!C19*60*60*24*(10^(-6))*C$2</f>
        <v>91.168415999999993</v>
      </c>
      <c r="D21" s="2">
        <f>'ورودی به سد (دبی)'!D19*60*60*24*(10^(-6))*D$2</f>
        <v>105.09523199999998</v>
      </c>
      <c r="E21" s="2">
        <f>'ورودی به سد (دبی)'!E19*60*60*24*(10^(-6))*E$2</f>
        <v>55.823903999999992</v>
      </c>
      <c r="F21" s="2">
        <f>'ورودی به سد (دبی)'!F19*60*60*24*(10^(-6))*F$2</f>
        <v>108.568512</v>
      </c>
      <c r="G21" s="2">
        <f>'ورودی به سد (دبی)'!G19*60*60*24*(10^(-6))*G$2</f>
        <v>715.37385599999982</v>
      </c>
      <c r="H21" s="2">
        <f>'ورودی به سد (دبی)'!H19*60*60*24*(10^(-6))*H$2</f>
        <v>560.11236479999991</v>
      </c>
      <c r="I21" s="2">
        <f>'ورودی به سد (دبی)'!I19*60*60*24*(10^(-6))*I$2</f>
        <v>268.09176959999996</v>
      </c>
      <c r="J21" s="2">
        <f>'ورودی به سد (دبی)'!J19*60*60*24*(10^(-6))*J$2</f>
        <v>41.775004799999991</v>
      </c>
      <c r="K21" s="2">
        <f>'ورودی به سد (دبی)'!K19*60*60*24*(10^(-6))*K$2</f>
        <v>8.3030399999999993</v>
      </c>
      <c r="L21" s="2">
        <f>'ورودی به سد (دبی)'!L19*60*60*24*(10^(-6))*L$2</f>
        <v>41.681260799999997</v>
      </c>
      <c r="M21" s="2">
        <f>'ورودی به سد (دبی)'!M19*60*60*24*(10^(-6))*M$2</f>
        <v>1.9445184</v>
      </c>
    </row>
    <row r="22" spans="1:13" x14ac:dyDescent="0.3">
      <c r="A22" s="3">
        <v>1384</v>
      </c>
      <c r="B22" s="2">
        <f>'ورودی به سد (دبی)'!B20*60*60*24*(10^(-6))*B$2</f>
        <v>2.7138239999999993</v>
      </c>
      <c r="C22" s="2">
        <f>'ورودی به سد (دبی)'!C20*60*60*24*(10^(-6))*C$2</f>
        <v>6.3892799999999985</v>
      </c>
      <c r="D22" s="2">
        <f>'ورودی به سد (دبی)'!D20*60*60*24*(10^(-6))*D$2</f>
        <v>10.285055999999999</v>
      </c>
      <c r="E22" s="2">
        <f>'ورودی به سد (دبی)'!E20*60*60*24*(10^(-6))*E$2</f>
        <v>21.000384</v>
      </c>
      <c r="F22" s="2">
        <f>'ورودی به سد (دبی)'!F20*60*60*24*(10^(-6))*F$2</f>
        <v>373.76121600000005</v>
      </c>
      <c r="G22" s="2">
        <f>'ورودی به سد (دبی)'!G20*60*60*24*(10^(-6))*G$2</f>
        <v>320.92727040000005</v>
      </c>
      <c r="H22" s="2">
        <f>'ورودی به سد (دبی)'!H20*60*60*24*(10^(-6))*H$2</f>
        <v>279.68388479999993</v>
      </c>
      <c r="I22" s="2">
        <f>'ورودی به سد (دبی)'!I20*60*60*24*(10^(-6))*I$2</f>
        <v>230.13884160000001</v>
      </c>
      <c r="J22" s="2">
        <f>'ورودی به سد (دبی)'!J20*60*60*24*(10^(-6))*J$2</f>
        <v>42.637449599999997</v>
      </c>
      <c r="K22" s="2">
        <f>'ورودی به سد (دبی)'!K20*60*60*24*(10^(-6))*K$2</f>
        <v>11.1635712</v>
      </c>
      <c r="L22" s="2">
        <f>'ورودی به سد (دبی)'!L20*60*60*24*(10^(-6))*L$2</f>
        <v>4.272047999999999</v>
      </c>
      <c r="M22" s="2">
        <f>'ورودی به سد (دبی)'!M20*60*60*24*(10^(-6))*M$2</f>
        <v>1.5588287999999999</v>
      </c>
    </row>
    <row r="23" spans="1:13" x14ac:dyDescent="0.3">
      <c r="A23" s="3">
        <v>1385</v>
      </c>
      <c r="B23" s="2">
        <f>'ورودی به سد (دبی)'!B21*60*60*24*(10^(-6))*B$2</f>
        <v>3.6676799999999989</v>
      </c>
      <c r="C23" s="2">
        <f>'ورودی به سد (دبی)'!C21*60*60*24*(10^(-6))*C$2</f>
        <v>61.871039999999979</v>
      </c>
      <c r="D23" s="2">
        <f>'ورودی به سد (دبی)'!D21*60*60*24*(10^(-6))*D$2</f>
        <v>30.668544000000001</v>
      </c>
      <c r="E23" s="2">
        <f>'ورودی به سد (دبی)'!E21*60*60*24*(10^(-6))*E$2</f>
        <v>34.706880000000005</v>
      </c>
      <c r="F23" s="2">
        <f>'ورودی به سد (دبی)'!F21*60*60*24*(10^(-6))*F$2</f>
        <v>74.341152000000008</v>
      </c>
      <c r="G23" s="2">
        <f>'ورودی به سد (دبی)'!G21*60*60*24*(10^(-6))*G$2</f>
        <v>136.75815359999999</v>
      </c>
      <c r="H23" s="2">
        <f>'ورودی به سد (دبی)'!H21*60*60*24*(10^(-6))*H$2</f>
        <v>427.90118399999983</v>
      </c>
      <c r="I23" s="2">
        <f>'ورودی به سد (دبی)'!I21*60*60*24*(10^(-6))*I$2</f>
        <v>354.8237183999999</v>
      </c>
      <c r="J23" s="2">
        <f>'ورودی به سد (دبی)'!J21*60*60*24*(10^(-6))*J$2</f>
        <v>63.644140799999988</v>
      </c>
      <c r="K23" s="2">
        <f>'ورودی به سد (دبی)'!K21*60*60*24*(10^(-6))*K$2</f>
        <v>15.451689599999998</v>
      </c>
      <c r="L23" s="2">
        <f>'ورودی به سد (دبی)'!L21*60*60*24*(10^(-6))*L$2</f>
        <v>3.7336895999999995</v>
      </c>
      <c r="M23" s="2">
        <f>'ورودی به سد (دبی)'!M21*60*60*24*(10^(-6))*M$2</f>
        <v>3.0908735999999997</v>
      </c>
    </row>
    <row r="24" spans="1:13" x14ac:dyDescent="0.3">
      <c r="A24" s="3">
        <v>1386</v>
      </c>
      <c r="B24" s="2">
        <f>'ورودی به سد (دبی)'!B22*60*60*24*(10^(-6))*B$2</f>
        <v>3.9942719999999996</v>
      </c>
      <c r="C24" s="2">
        <f>'ورودی به سد (دبی)'!C22*60*60*24*(10^(-6))*C$2</f>
        <v>4.9584959999999993</v>
      </c>
      <c r="D24" s="2">
        <f>'ورودی به سد (دبی)'!D22*60*60*24*(10^(-6))*D$2</f>
        <v>24.875423999999999</v>
      </c>
      <c r="E24" s="2">
        <f>'ورودی به سد (دبی)'!E22*60*60*24*(10^(-6))*E$2</f>
        <v>17.410464000000001</v>
      </c>
      <c r="F24" s="2">
        <f>'ورودی به سد (دبی)'!F22*60*60*24*(10^(-6))*F$2</f>
        <v>23.364287999999995</v>
      </c>
      <c r="G24" s="2">
        <f>'ورودی به سد (دبی)'!G22*60*60*24*(10^(-6))*G$2</f>
        <v>215.23855679999997</v>
      </c>
      <c r="H24" s="2">
        <f>'ورودی به سد (دبی)'!H22*60*60*24*(10^(-6))*H$2</f>
        <v>221.73134399999992</v>
      </c>
      <c r="I24" s="2">
        <f>'ورودی به سد (دبی)'!I22*60*60*24*(10^(-6))*I$2</f>
        <v>40.7947104</v>
      </c>
      <c r="J24" s="2">
        <f>'ورودی به سد (دبی)'!J22*60*60*24*(10^(-6))*J$2</f>
        <v>7.1540063999999992</v>
      </c>
      <c r="K24" s="2">
        <f>'ورودی به سد (دبی)'!K22*60*60*24*(10^(-6))*K$2</f>
        <v>1.4865120000000003</v>
      </c>
      <c r="L24" s="2">
        <f>'ورودی به سد (دبی)'!L22*60*60*24*(10^(-6))*L$2</f>
        <v>0.85173120000000002</v>
      </c>
      <c r="M24" s="2">
        <f>'ورودی به سد (دبی)'!M22*60*60*24*(10^(-6))*M$2</f>
        <v>2.5980479999999995</v>
      </c>
    </row>
    <row r="25" spans="1:13" x14ac:dyDescent="0.3">
      <c r="A25" s="3">
        <v>1387</v>
      </c>
      <c r="B25" s="2">
        <f>'ورودی به سد (دبی)'!B23*60*60*24*(10^(-6))*B$2</f>
        <v>2.3639039999999998</v>
      </c>
      <c r="C25" s="2">
        <f>'ورودی به سد (دبی)'!C23*60*60*24*(10^(-6))*C$2</f>
        <v>16.578431999999996</v>
      </c>
      <c r="D25" s="2">
        <f>'ورودی به سد (دبی)'!D23*60*60*24*(10^(-6))*D$2</f>
        <v>15.207263999999999</v>
      </c>
      <c r="E25" s="2">
        <f>'ورودی به سد (دبی)'!E23*60*60*24*(10^(-6))*E$2</f>
        <v>14.743296000000001</v>
      </c>
      <c r="F25" s="2">
        <f>'ورودی به سد (دبی)'!F23*60*60*24*(10^(-6))*F$2</f>
        <v>36.757151999999998</v>
      </c>
      <c r="G25" s="2">
        <f>'ورودی به سد (دبی)'!G23*60*60*24*(10^(-6))*G$2</f>
        <v>109.8279648</v>
      </c>
      <c r="H25" s="2">
        <f>'ورودی به سد (دبی)'!H23*60*60*24*(10^(-6))*H$2</f>
        <v>224.92399680000003</v>
      </c>
      <c r="I25" s="2">
        <f>'ورودی به سد (دبی)'!I23*60*60*24*(10^(-6))*I$2</f>
        <v>196.25440320000001</v>
      </c>
      <c r="J25" s="2">
        <f>'ورودی به سد (دبی)'!J23*60*60*24*(10^(-6))*J$2</f>
        <v>28.961539199999997</v>
      </c>
      <c r="K25" s="2">
        <f>'ورودی به سد (دبی)'!K23*60*60*24*(10^(-6))*K$2</f>
        <v>4.2372287999999996</v>
      </c>
      <c r="L25" s="2">
        <f>'ورودی به سد (دبی)'!L23*60*60*24*(10^(-6))*L$2</f>
        <v>1.3311648</v>
      </c>
      <c r="M25" s="2">
        <f>'ورودی به سد (دبی)'!M23*60*60*24*(10^(-6))*M$2</f>
        <v>0.42318720000000004</v>
      </c>
    </row>
    <row r="26" spans="1:13" x14ac:dyDescent="0.3">
      <c r="A26" s="3">
        <v>1388</v>
      </c>
      <c r="B26" s="2">
        <f>'ورودی به سد (دبی)'!B24*60*60*24*(10^(-6))*B$2</f>
        <v>3.1518719999999996</v>
      </c>
      <c r="C26" s="2">
        <f>'ورودی به سد (دبی)'!C24*60*60*24*(10^(-6))*C$2</f>
        <v>54.533088000000006</v>
      </c>
      <c r="D26" s="2">
        <f>'ورودی به سد (دبی)'!D24*60*60*24*(10^(-6))*D$2</f>
        <v>61.303391999999974</v>
      </c>
      <c r="E26" s="2">
        <f>'ورودی به سد (دبی)'!E24*60*60*24*(10^(-6))*E$2</f>
        <v>86.658336000000006</v>
      </c>
      <c r="F26" s="2">
        <f>'ورودی به سد (دبی)'!F24*60*60*24*(10^(-6))*F$2</f>
        <v>105.90911999999999</v>
      </c>
      <c r="G26" s="2">
        <f>'ورودی به سد (دبی)'!G24*60*60*24*(10^(-6))*G$2</f>
        <v>349.70158079999987</v>
      </c>
      <c r="H26" s="2">
        <f>'ورودی به سد (دبی)'!H24*60*60*24*(10^(-6))*H$2</f>
        <v>586.8026208</v>
      </c>
      <c r="I26" s="2">
        <f>'ورودی به سد (دبی)'!I24*60*60*24*(10^(-6))*I$2</f>
        <v>749.01991680000003</v>
      </c>
      <c r="J26" s="2">
        <f>'ورودی به سد (دبی)'!J24*60*60*24*(10^(-6))*J$2</f>
        <v>394.68366719999995</v>
      </c>
      <c r="K26" s="2">
        <f>'ورودی به سد (دبی)'!K24*60*60*24*(10^(-6))*K$2</f>
        <v>10.895731199999998</v>
      </c>
      <c r="L26" s="2">
        <f>'ورودی به سد (دبی)'!L24*60*60*24*(10^(-6))*L$2</f>
        <v>0.50621759999999993</v>
      </c>
      <c r="M26" s="2">
        <f>'ورودی به سد (دبی)'!M24*60*60*24*(10^(-6))*M$2</f>
        <v>0.62406719999999993</v>
      </c>
    </row>
    <row r="27" spans="1:13" x14ac:dyDescent="0.3">
      <c r="A27" s="3">
        <v>1389</v>
      </c>
      <c r="B27" s="2">
        <f>'ورودی به سد (دبی)'!B25*60*60*24*(10^(-6))*B$2</f>
        <v>0.87609599999999987</v>
      </c>
      <c r="C27" s="2">
        <f>'ورودی به سد (دبی)'!C25*60*60*24*(10^(-6))*C$2</f>
        <v>2.7138239999999993</v>
      </c>
      <c r="D27" s="2">
        <f>'ورودی به سد (دبی)'!D25*60*60*24*(10^(-6))*D$2</f>
        <v>15.018048</v>
      </c>
      <c r="E27" s="2">
        <f>'ورودی به سد (دبی)'!E25*60*60*24*(10^(-6))*E$2</f>
        <v>29.686176</v>
      </c>
      <c r="F27" s="2">
        <f>'ورودی به سد (دبی)'!F25*60*60*24*(10^(-6))*F$2</f>
        <v>63.986112000000006</v>
      </c>
      <c r="G27" s="2">
        <f>'ورودی به سد (دبی)'!G25*60*60*24*(10^(-6))*G$2</f>
        <v>200.82133440000001</v>
      </c>
      <c r="H27" s="2">
        <f>'ورودی به سد (دبی)'!H25*60*60*24*(10^(-6))*H$2</f>
        <v>235.16084159999997</v>
      </c>
      <c r="I27" s="2">
        <f>'ورودی به سد (دبی)'!I25*60*60*24*(10^(-6))*I$2</f>
        <v>417.91610879999996</v>
      </c>
      <c r="J27" s="2">
        <f>'ورودی به سد (دبی)'!J25*60*60*24*(10^(-6))*J$2</f>
        <v>42.913324799999991</v>
      </c>
      <c r="K27" s="2">
        <f>'ورودی به سد (دبی)'!K25*60*60*24*(10^(-6))*K$2</f>
        <v>7.2986400000000016</v>
      </c>
      <c r="L27" s="2">
        <f>'ورودی به سد (دبی)'!L25*60*60*24*(10^(-6))*L$2</f>
        <v>1.5802560000000001</v>
      </c>
      <c r="M27" s="2">
        <f>'ورودی به سد (دبی)'!M25*60*60*24*(10^(-6))*M$2</f>
        <v>1.392768</v>
      </c>
    </row>
    <row r="28" spans="1:13" x14ac:dyDescent="0.3">
      <c r="A28" s="3">
        <v>1390</v>
      </c>
      <c r="B28" s="2">
        <f>'ورودی به سد (دبی)'!B26*60*60*24*(10^(-6))*B$2</f>
        <v>1.1249279999999999</v>
      </c>
      <c r="C28" s="2">
        <f>'ورودی به سد (دبی)'!C26*60*60*24*(10^(-6))*C$2</f>
        <v>24.826176</v>
      </c>
      <c r="D28" s="2">
        <f>'ورودی به سد (دبی)'!D26*60*60*24*(10^(-6))*D$2</f>
        <v>33.252768000000003</v>
      </c>
      <c r="E28" s="2">
        <f>'ورودی به سد (دبی)'!E26*60*60*24*(10^(-6))*E$2</f>
        <v>44.445024000000011</v>
      </c>
      <c r="F28" s="2">
        <f>'ورودی به سد (دبی)'!F26*60*60*24*(10^(-6))*F$2</f>
        <v>70.059167999999985</v>
      </c>
      <c r="G28" s="2">
        <f>'ورودی به سد (دبی)'!G26*60*60*24*(10^(-6))*G$2</f>
        <v>143.90412479999998</v>
      </c>
      <c r="H28" s="2">
        <f>'ورودی به سد (دبی)'!H26*60*60*24*(10^(-6))*H$2</f>
        <v>785.98451520000003</v>
      </c>
      <c r="I28" s="2">
        <f>'ورودی به سد (دبی)'!I26*60*60*24*(10^(-6))*I$2</f>
        <v>487.9884095999999</v>
      </c>
      <c r="J28" s="2">
        <f>'ورودی به سد (دبی)'!J26*60*60*24*(10^(-6))*J$2</f>
        <v>52.081488</v>
      </c>
      <c r="K28" s="2">
        <f>'ورودی به سد (دبی)'!K26*60*60*24*(10^(-6))*K$2</f>
        <v>11.069827199999999</v>
      </c>
      <c r="L28" s="2">
        <f>'ورودی به سد (دبی)'!L26*60*60*24*(10^(-6))*L$2</f>
        <v>3.8756447999999994</v>
      </c>
      <c r="M28" s="2">
        <f>'ورودی به سد (دبی)'!M26*60*60*24*(10^(-6))*M$2</f>
        <v>0.39640319999999996</v>
      </c>
    </row>
    <row r="29" spans="1:13" x14ac:dyDescent="0.3">
      <c r="A29" s="4">
        <v>1391</v>
      </c>
      <c r="B29" s="2">
        <f>'ورودی به سد (دبی)'!B27*60*60*24*(10^(-6))*B$2</f>
        <v>2.0995199999999992</v>
      </c>
      <c r="C29" s="2">
        <f>'ورودی به سد (دبی)'!C27*60*60*24*(10^(-6))*C$2</f>
        <v>30.435264</v>
      </c>
      <c r="D29" s="2">
        <f>'ورودی به سد (دبی)'!D27*60*60*24*(10^(-6))*D$2</f>
        <v>54.240191999999993</v>
      </c>
      <c r="E29" s="2">
        <f>'ورودی به سد (دبی)'!E27*60*60*24*(10^(-6))*E$2</f>
        <v>56.868479999999998</v>
      </c>
      <c r="F29" s="2">
        <f>'ورودی به سد (دبی)'!F27*60*60*24*(10^(-6))*F$2</f>
        <v>212.81356799999992</v>
      </c>
      <c r="G29" s="2">
        <f>'ورودی به سد (دبی)'!G27*60*60*24*(10^(-6))*G$2</f>
        <v>214.60463999999993</v>
      </c>
      <c r="H29" s="2">
        <f>'ورودی به سد (دبی)'!H27*60*60*24*(10^(-6))*H$2</f>
        <v>247.48951680000002</v>
      </c>
      <c r="I29" s="2">
        <f>'ورودی به سد (دبی)'!I27*60*60*24*(10^(-6))*I$2</f>
        <v>91.526284799999999</v>
      </c>
      <c r="J29" s="2">
        <f>'ورودی به سد (دبی)'!J27*60*60*24*(10^(-6))*J$2</f>
        <v>20.312985600000001</v>
      </c>
      <c r="K29" s="2">
        <f>'ورودی به سد (دبی)'!K27*60*60*24*(10^(-6))*K$2</f>
        <v>1.7356031999999999</v>
      </c>
      <c r="L29" s="2">
        <f>'ورودی به سد (دبی)'!L27*60*60*24*(10^(-6))*L$2</f>
        <v>0.5972831999999999</v>
      </c>
      <c r="M29" s="2">
        <f>'ورودی به سد (دبی)'!M27*60*60*24*(10^(-6))*M$2</f>
        <v>0.57585599999999992</v>
      </c>
    </row>
    <row r="30" spans="1:13" x14ac:dyDescent="0.3">
      <c r="A30" s="4">
        <v>1392</v>
      </c>
      <c r="B30" s="2">
        <f>'ورودی به سد (دبی)'!B28*60*60*24*(10^(-6))*B$2</f>
        <v>0.90460799999999986</v>
      </c>
      <c r="C30" s="2">
        <f>'ورودی به سد (دبی)'!C28*60*60*24*(10^(-6))*C$2</f>
        <v>10.378368</v>
      </c>
      <c r="D30" s="2">
        <f>'ورودی به سد (دبی)'!D28*60*60*24*(10^(-6))*D$2</f>
        <v>56.969567999999995</v>
      </c>
      <c r="E30" s="2">
        <f>'ورودی به سد (دبی)'!E28*60*60*24*(10^(-6))*E$2</f>
        <v>37.384415999999995</v>
      </c>
      <c r="F30" s="2">
        <f>'ورودی به سد (دبی)'!F28*60*60*24*(10^(-6))*F$2</f>
        <v>84.506975999999995</v>
      </c>
      <c r="G30" s="2">
        <f>'ورودی به سد (دبی)'!G28*60*60*24*(10^(-6))*G$2</f>
        <v>212.23935359999996</v>
      </c>
      <c r="H30" s="2">
        <f>'ورودی به سد (دبی)'!H28*60*60*24*(10^(-6))*H$2</f>
        <v>293.00088959999999</v>
      </c>
      <c r="I30" s="2">
        <f>'ورودی به سد (دبی)'!I28*60*60*24*(10^(-6))*I$2</f>
        <v>162.46638719999996</v>
      </c>
      <c r="J30" s="2">
        <f>'ورودی به سد (دبی)'!J28*60*60*24*(10^(-6))*J$2</f>
        <v>13.327718399999998</v>
      </c>
      <c r="K30" s="2">
        <f>'ورودی به سد (دبی)'!K28*60*60*24*(10^(-6))*K$2</f>
        <v>4.7273759999999987</v>
      </c>
      <c r="L30" s="2">
        <f>'ورودی به سد (دبی)'!L28*60*60*24*(10^(-6))*L$2</f>
        <v>0.46068479999999995</v>
      </c>
      <c r="M30" s="2">
        <f>'ورودی به سد (دبی)'!M28*60*60*24*(10^(-6))*M$2</f>
        <v>0.51693119999999992</v>
      </c>
    </row>
    <row r="31" spans="1:13" x14ac:dyDescent="0.3">
      <c r="A31" s="4">
        <v>1393</v>
      </c>
      <c r="B31" s="2">
        <f>'ورودی به سد (دبی)'!B29*60*60*24*(10^(-6))*B$2</f>
        <v>3.3462719999999999</v>
      </c>
      <c r="C31" s="2">
        <f>'ورودی به سد (دبی)'!C29*60*60*24*(10^(-6))*C$2</f>
        <v>25.922591999999998</v>
      </c>
      <c r="D31" s="2">
        <f>'ورودی به سد (دبی)'!D29*60*60*24*(10^(-6))*D$2</f>
        <v>115.05888</v>
      </c>
      <c r="E31" s="2">
        <f>'ورودی به سد (دبی)'!E29*60*60*24*(10^(-6))*E$2</f>
        <v>74.302272000000016</v>
      </c>
      <c r="F31" s="2">
        <f>'ورودی به سد (دبی)'!F29*60*60*24*(10^(-6))*F$2</f>
        <v>154.37433599999997</v>
      </c>
      <c r="G31" s="2">
        <f>'ورودی به سد (دبی)'!G29*60*60*24*(10^(-6))*G$2</f>
        <v>110.67485759999997</v>
      </c>
      <c r="H31" s="2">
        <f>'ورودی به سد (دبی)'!H29*60*60*24*(10^(-6))*H$2</f>
        <v>299.84152319999998</v>
      </c>
      <c r="I31" s="2">
        <f>'ورودی به سد (دبی)'!I29*60*60*24*(10^(-6))*I$2</f>
        <v>148.26283199999997</v>
      </c>
      <c r="J31" s="2">
        <f>'ورودی به سد (دبی)'!J29*60*60*24*(10^(-6))*J$2</f>
        <v>17.690832</v>
      </c>
      <c r="K31" s="2">
        <f>'ورودی به سد (دبی)'!K29*60*60*24*(10^(-6))*K$2</f>
        <v>1.5668639999999996</v>
      </c>
      <c r="L31" s="2">
        <f>'ورودی به سد (دبی)'!L29*60*60*24*(10^(-6))*L$2</f>
        <v>2.2284288000000001</v>
      </c>
      <c r="M31" s="2">
        <f>'ورودی به سد (دبی)'!M29*60*60*24*(10^(-6))*M$2</f>
        <v>3.2087231999999992</v>
      </c>
    </row>
  </sheetData>
  <mergeCells count="12"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5295-D369-4C21-B578-3BAD027F515F}">
  <dimension ref="A1:M32"/>
  <sheetViews>
    <sheetView tabSelected="1" topLeftCell="A10" workbookViewId="0">
      <selection activeCell="D34" sqref="D34"/>
    </sheetView>
  </sheetViews>
  <sheetFormatPr defaultRowHeight="14.4" x14ac:dyDescent="0.3"/>
  <sheetData>
    <row r="1" spans="1:13" x14ac:dyDescent="0.3"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 t="s">
        <v>5</v>
      </c>
      <c r="I1" s="2" t="s">
        <v>4</v>
      </c>
      <c r="J1" s="2" t="s">
        <v>3</v>
      </c>
      <c r="K1" s="2" t="s">
        <v>2</v>
      </c>
      <c r="L1" s="2" t="s">
        <v>1</v>
      </c>
      <c r="M1" s="2" t="s">
        <v>0</v>
      </c>
    </row>
    <row r="2" spans="1:13" x14ac:dyDescent="0.3">
      <c r="A2" s="1" t="s">
        <v>13</v>
      </c>
      <c r="B2" s="5">
        <v>30</v>
      </c>
      <c r="C2" s="5">
        <v>30</v>
      </c>
      <c r="D2" s="5">
        <v>30</v>
      </c>
      <c r="E2" s="5">
        <v>30</v>
      </c>
      <c r="F2" s="5">
        <v>30</v>
      </c>
      <c r="G2" s="5">
        <v>29</v>
      </c>
      <c r="H2" s="5">
        <v>31</v>
      </c>
      <c r="I2" s="5">
        <v>31</v>
      </c>
      <c r="J2" s="5">
        <v>31</v>
      </c>
      <c r="K2" s="5">
        <v>31</v>
      </c>
      <c r="L2" s="5">
        <v>31</v>
      </c>
      <c r="M2" s="5">
        <v>31</v>
      </c>
    </row>
    <row r="3" spans="1:13" x14ac:dyDescent="0.3">
      <c r="A3" s="2" t="s">
        <v>12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3">
      <c r="A4" s="3">
        <v>1366</v>
      </c>
      <c r="B4" s="2">
        <f>'خروجی از سد (دبی)'!B2*60*60*24*(10^(-6))*B$2</f>
        <v>63.068544000000003</v>
      </c>
      <c r="C4" s="2">
        <f>'خروجی از سد (دبی)'!C2*60*60*24*(10^(-6))*C$2</f>
        <v>71.985023999999996</v>
      </c>
      <c r="D4" s="2">
        <f>'خروجی از سد (دبی)'!D2*60*60*24*(10^(-6))*D$2</f>
        <v>67.306463999999991</v>
      </c>
      <c r="E4" s="2">
        <f>'خروجی از سد (دبی)'!E2*60*60*24*(10^(-6))*E$2</f>
        <v>128.99088</v>
      </c>
      <c r="F4" s="2">
        <f>'خروجی از سد (دبی)'!F2*60*60*24*(10^(-6))*F$2</f>
        <v>138.04991999999999</v>
      </c>
      <c r="G4" s="2">
        <f>'خروجی از سد (دبی)'!G2*60*60*24*(10^(-6))*G$2</f>
        <v>539.92172159999996</v>
      </c>
      <c r="H4" s="2">
        <f>'خروجی از سد (دبی)'!H2*60*60*24*(10^(-6))*H$2</f>
        <v>1157.5160927999998</v>
      </c>
      <c r="I4" s="2">
        <f>'خروجی از سد (دبی)'!I2*60*60*24*(10^(-6))*I$2</f>
        <v>1006.7061024000002</v>
      </c>
      <c r="J4" s="2">
        <f>'خروجی از سد (دبی)'!J2*60*60*24*(10^(-6))*J$2</f>
        <v>189.7592832</v>
      </c>
      <c r="K4" s="2">
        <f>'خروجی از سد (دبی)'!K2*60*60*24*(10^(-6))*K$2</f>
        <v>121.21902719999999</v>
      </c>
      <c r="L4" s="2">
        <f>'خروجی از سد (دبی)'!L2*60*60*24*(10^(-6))*L$2</f>
        <v>133.27182719999999</v>
      </c>
      <c r="M4" s="2">
        <f>'خروجی از سد (دبی)'!M2*60*60*24*(10^(-6))*M$2</f>
        <v>140.06424959999998</v>
      </c>
    </row>
    <row r="5" spans="1:13" x14ac:dyDescent="0.3">
      <c r="A5" s="3">
        <v>1367</v>
      </c>
      <c r="B5" s="2">
        <f>'خروجی از سد (دبی)'!B3*60*60*24*(10^(-6))*B$2</f>
        <v>117.54201599999999</v>
      </c>
      <c r="C5" s="2">
        <f>'خروجی از سد (دبی)'!C3*60*60*24*(10^(-6))*C$2</f>
        <v>118.887264</v>
      </c>
      <c r="D5" s="2">
        <f>'خروجی از سد (دبی)'!D3*60*60*24*(10^(-6))*D$2</f>
        <v>90.945504000000014</v>
      </c>
      <c r="E5" s="2">
        <f>'خروجی از سد (دبی)'!E3*60*60*24*(10^(-6))*E$2</f>
        <v>89.198495999999992</v>
      </c>
      <c r="F5" s="2">
        <f>'خروجی از سد (دبی)'!F3*60*60*24*(10^(-6))*F$2</f>
        <v>108.039744</v>
      </c>
      <c r="G5" s="2">
        <f>'خروجی از سد (دبی)'!G3*60*60*24*(10^(-6))*G$2</f>
        <v>156.95830079999996</v>
      </c>
      <c r="H5" s="2">
        <f>'خروجی از سد (دبی)'!H3*60*60*24*(10^(-6))*H$2</f>
        <v>159.44247360000003</v>
      </c>
      <c r="I5" s="2">
        <f>'خروجی از سد (دبی)'!I3*60*60*24*(10^(-6))*I$2</f>
        <v>163.73594880000002</v>
      </c>
      <c r="J5" s="2">
        <f>'خروجی از سد (دبی)'!J3*60*60*24*(10^(-6))*J$2</f>
        <v>161.5584096</v>
      </c>
      <c r="K5" s="2">
        <f>'خروجی از سد (دبی)'!K3*60*60*24*(10^(-6))*K$2</f>
        <v>135.0958176</v>
      </c>
      <c r="L5" s="2">
        <f>'خروجی از سد (دبی)'!L3*60*60*24*(10^(-6))*L$2</f>
        <v>124.42507199999997</v>
      </c>
      <c r="M5" s="2">
        <f>'خروجی از سد (دبی)'!M3*60*60*24*(10^(-6))*M$2</f>
        <v>105.36825599999999</v>
      </c>
    </row>
    <row r="6" spans="1:13" x14ac:dyDescent="0.3">
      <c r="A6" s="3">
        <v>1368</v>
      </c>
      <c r="B6" s="2">
        <f>'خروجی از سد (دبی)'!B4*60*60*24*(10^(-6))*B$2</f>
        <v>103.90550400000001</v>
      </c>
      <c r="C6" s="2">
        <f>'خروجی از سد (دبی)'!C4*60*60*24*(10^(-6))*C$2</f>
        <v>75.76415999999999</v>
      </c>
      <c r="D6" s="2">
        <f>'خروجی از سد (دبی)'!D4*60*60*24*(10^(-6))*D$2</f>
        <v>40.790303999999999</v>
      </c>
      <c r="E6" s="2">
        <f>'خروجی از سد (دبی)'!E4*60*60*24*(10^(-6))*E$2</f>
        <v>43.540415999999993</v>
      </c>
      <c r="F6" s="2">
        <f>'خروجی از سد (دبی)'!F4*60*60*24*(10^(-6))*F$2</f>
        <v>32.044895999999994</v>
      </c>
      <c r="G6" s="2">
        <f>'خروجی از سد (دبی)'!G4*60*60*24*(10^(-6))*G$2</f>
        <v>118.65268799999996</v>
      </c>
      <c r="H6" s="2">
        <f>'خروجی از سد (دبی)'!H4*60*60*24*(10^(-6))*H$2</f>
        <v>162.71815680000003</v>
      </c>
      <c r="I6" s="2">
        <f>'خروجی از سد (دبی)'!I4*60*60*24*(10^(-6))*I$2</f>
        <v>196.35350400000002</v>
      </c>
      <c r="J6" s="2">
        <f>'خروجی از سد (دبی)'!J4*60*60*24*(10^(-6))*J$2</f>
        <v>166.55362559999998</v>
      </c>
      <c r="K6" s="2">
        <f>'خروجی از سد (دبی)'!K4*60*60*24*(10^(-6))*K$2</f>
        <v>130.52914559999996</v>
      </c>
      <c r="L6" s="2">
        <f>'خروجی از سد (دبی)'!L4*60*60*24*(10^(-6))*L$2</f>
        <v>155.13560639999997</v>
      </c>
      <c r="M6" s="2">
        <f>'خروجی از سد (دبی)'!M4*60*60*24*(10^(-6))*M$2</f>
        <v>132.71472</v>
      </c>
    </row>
    <row r="7" spans="1:13" x14ac:dyDescent="0.3">
      <c r="A7" s="3">
        <v>1369</v>
      </c>
      <c r="B7" s="2">
        <f>'خروجی از سد (دبی)'!B5*60*60*24*(10^(-6))*B$2</f>
        <v>81.11145599999999</v>
      </c>
      <c r="C7" s="2">
        <f>'خروجی از سد (دبی)'!C5*60*60*24*(10^(-6))*C$2</f>
        <v>33.250175999999996</v>
      </c>
      <c r="D7" s="2">
        <f>'خروجی از سد (دبی)'!D5*60*60*24*(10^(-6))*D$2</f>
        <v>18.786815999999995</v>
      </c>
      <c r="E7" s="2">
        <f>'خروجی از سد (دبی)'!E5*60*60*24*(10^(-6))*E$2</f>
        <v>16.373663999999994</v>
      </c>
      <c r="F7" s="2">
        <f>'خروجی از سد (دبی)'!F5*60*60*24*(10^(-6))*F$2</f>
        <v>18.486143999999996</v>
      </c>
      <c r="G7" s="2">
        <f>'خروجی از سد (دبی)'!G5*60*60*24*(10^(-6))*G$2</f>
        <v>20.809007999999995</v>
      </c>
      <c r="H7" s="2">
        <f>'خروجی از سد (دبی)'!H5*60*60*24*(10^(-6))*H$2</f>
        <v>220.49124479999995</v>
      </c>
      <c r="I7" s="2">
        <f>'خروجی از سد (دبی)'!I5*60*60*24*(10^(-6))*I$2</f>
        <v>292.11969599999998</v>
      </c>
      <c r="J7" s="2">
        <f>'خروجی از سد (دبی)'!J5*60*60*24*(10^(-6))*J$2</f>
        <v>117.94066559999997</v>
      </c>
      <c r="K7" s="2">
        <f>'خروجی از سد (دبی)'!K5*60*60*24*(10^(-6))*K$2</f>
        <v>98.591904000000028</v>
      </c>
      <c r="L7" s="2">
        <f>'خروجی از سد (دبی)'!L5*60*60*24*(10^(-6))*L$2</f>
        <v>100.63016639999998</v>
      </c>
      <c r="M7" s="2">
        <f>'خروجی از سد (دبی)'!M5*60*60*24*(10^(-6))*M$2</f>
        <v>106.41283199999997</v>
      </c>
    </row>
    <row r="8" spans="1:13" x14ac:dyDescent="0.3">
      <c r="A8" s="3">
        <v>1370</v>
      </c>
      <c r="B8" s="2">
        <f>'خروجی از سد (دبی)'!B6*60*60*24*(10^(-6))*B$2</f>
        <v>70.030655999999993</v>
      </c>
      <c r="C8" s="2">
        <f>'خروجی از سد (دبی)'!C6*60*60*24*(10^(-6))*C$2</f>
        <v>33.242399999999996</v>
      </c>
      <c r="D8" s="2">
        <f>'خروجی از سد (دبی)'!D6*60*60*24*(10^(-6))*D$2</f>
        <v>24.320735999999997</v>
      </c>
      <c r="E8" s="2">
        <f>'خروجی از سد (دبی)'!E6*60*60*24*(10^(-6))*E$2</f>
        <v>68.078879999999998</v>
      </c>
      <c r="F8" s="2">
        <f>'خروجی از سد (دبی)'!F6*60*60*24*(10^(-6))*F$2</f>
        <v>89.649504000000007</v>
      </c>
      <c r="G8" s="2">
        <f>'خروجی از سد (دبی)'!G6*60*60*24*(10^(-6))*G$2</f>
        <v>137.96334719999999</v>
      </c>
      <c r="H8" s="2">
        <f>'خروجی از سد (دبی)'!H6*60*60*24*(10^(-6))*H$2</f>
        <v>409.3345152</v>
      </c>
      <c r="I8" s="2">
        <f>'خروجی از سد (دبی)'!I6*60*60*24*(10^(-6))*I$2</f>
        <v>1162.7229024000003</v>
      </c>
      <c r="J8" s="2">
        <f>'خروجی از سد (دبی)'!J6*60*60*24*(10^(-6))*J$2</f>
        <v>447.61152959999993</v>
      </c>
      <c r="K8" s="2">
        <f>'خروجی از سد (دبی)'!K6*60*60*24*(10^(-6))*K$2</f>
        <v>105.08434559999998</v>
      </c>
      <c r="L8" s="2">
        <f>'خروجی از سد (دبی)'!L6*60*60*24*(10^(-6))*L$2</f>
        <v>108.39752639999998</v>
      </c>
      <c r="M8" s="2">
        <f>'خروجی از سد (دبی)'!M6*60*60*24*(10^(-6))*M$2</f>
        <v>83.271455999999986</v>
      </c>
    </row>
    <row r="9" spans="1:13" x14ac:dyDescent="0.3">
      <c r="A9" s="3">
        <v>1371</v>
      </c>
      <c r="B9" s="2">
        <f>'خروجی از سد (دبی)'!B7*60*60*24*(10^(-6))*B$2</f>
        <v>77.752223999999998</v>
      </c>
      <c r="C9" s="2">
        <f>'خروجی از سد (دبی)'!C7*60*60*24*(10^(-6))*C$2</f>
        <v>77.993279999999999</v>
      </c>
      <c r="D9" s="2">
        <f>'خروجی از سد (دبی)'!D7*60*60*24*(10^(-6))*D$2</f>
        <v>72.368639999999999</v>
      </c>
      <c r="E9" s="2">
        <f>'خروجی از سد (دبی)'!E7*60*60*24*(10^(-6))*E$2</f>
        <v>72.127583999999999</v>
      </c>
      <c r="F9" s="2">
        <f>'خروجی از سد (دبی)'!F7*60*60*24*(10^(-6))*F$2</f>
        <v>101.04393599999999</v>
      </c>
      <c r="G9" s="2">
        <f>'خروجی از سد (دبی)'!G7*60*60*24*(10^(-6))*G$2</f>
        <v>159.45888959999999</v>
      </c>
      <c r="H9" s="2">
        <f>'خروجی از سد (دبی)'!H7*60*60*24*(10^(-6))*H$2</f>
        <v>450.20957760000005</v>
      </c>
      <c r="I9" s="2">
        <f>'خروجی از سد (دبی)'!I7*60*60*24*(10^(-6))*I$2</f>
        <v>525.13246079999999</v>
      </c>
      <c r="J9" s="2">
        <f>'خروجی از سد (دبی)'!J7*60*60*24*(10^(-6))*J$2</f>
        <v>164.7216</v>
      </c>
      <c r="K9" s="2">
        <f>'خروجی از سد (دبی)'!K7*60*60*24*(10^(-6))*K$2</f>
        <v>111.66249599999998</v>
      </c>
      <c r="L9" s="2">
        <f>'خروجی از سد (دبی)'!L7*60*60*24*(10^(-6))*L$2</f>
        <v>100.292688</v>
      </c>
      <c r="M9" s="2">
        <f>'خروجی از سد (دبی)'!M7*60*60*24*(10^(-6))*M$2</f>
        <v>76.920969599999992</v>
      </c>
    </row>
    <row r="10" spans="1:13" x14ac:dyDescent="0.3">
      <c r="A10" s="3">
        <v>1372</v>
      </c>
      <c r="B10" s="2">
        <f>'خروجی از سد (دبی)'!B8*60*60*24*(10^(-6))*B$2</f>
        <v>68.208480000000009</v>
      </c>
      <c r="C10" s="2">
        <f>'خروجی از سد (دبی)'!C8*60*60*24*(10^(-6))*C$2</f>
        <v>67.301280000000006</v>
      </c>
      <c r="D10" s="2">
        <f>'خروجی از سد (دبی)'!D8*60*60*24*(10^(-6))*D$2</f>
        <v>153.41529599999998</v>
      </c>
      <c r="E10" s="2">
        <f>'خروجی از سد (دبی)'!E8*60*60*24*(10^(-6))*E$2</f>
        <v>429.84431999999998</v>
      </c>
      <c r="F10" s="2">
        <f>'خروجی از سد (دبی)'!F8*60*60*24*(10^(-6))*F$2</f>
        <v>215.42630399999996</v>
      </c>
      <c r="G10" s="2">
        <f>'خروجی از سد (دبی)'!G8*60*60*24*(10^(-6))*G$2</f>
        <v>310.82469120000002</v>
      </c>
      <c r="H10" s="2">
        <f>'خروجی از سد (دبی)'!H8*60*60*24*(10^(-6))*H$2</f>
        <v>823.47140160000004</v>
      </c>
      <c r="I10" s="2">
        <f>'خروجی از سد (دبی)'!I8*60*60*24*(10^(-6))*I$2</f>
        <v>627.84374400000002</v>
      </c>
      <c r="J10" s="2">
        <f>'خروجی از سد (دبی)'!J8*60*60*24*(10^(-6))*J$2</f>
        <v>157.2301152</v>
      </c>
      <c r="K10" s="2">
        <f>'خروجی از سد (دبی)'!K8*60*60*24*(10^(-6))*K$2</f>
        <v>116.91751679999999</v>
      </c>
      <c r="L10" s="2">
        <f>'خروجی از سد (دبی)'!L8*60*60*24*(10^(-6))*L$2</f>
        <v>93.079756800000027</v>
      </c>
      <c r="M10" s="2">
        <f>'خروجی از سد (دبی)'!M8*60*60*24*(10^(-6))*M$2</f>
        <v>82.071532799999986</v>
      </c>
    </row>
    <row r="11" spans="1:13" x14ac:dyDescent="0.3">
      <c r="A11" s="3">
        <v>1373</v>
      </c>
      <c r="B11" s="2">
        <f>'خروجی از سد (دبی)'!B9*60*60*24*(10^(-6))*B$2</f>
        <v>62.220959999999998</v>
      </c>
      <c r="C11" s="2">
        <f>'خروجی از سد (دبی)'!C9*60*60*24*(10^(-6))*C$2</f>
        <v>80.440127999999987</v>
      </c>
      <c r="D11" s="2">
        <f>'خروجی از سد (دبی)'!D9*60*60*24*(10^(-6))*D$2</f>
        <v>215.00639999999999</v>
      </c>
      <c r="E11" s="2">
        <f>'خروجی از سد (دبی)'!E9*60*60*24*(10^(-6))*E$2</f>
        <v>167.21769600000002</v>
      </c>
      <c r="F11" s="2">
        <f>'خروجی از سد (دبی)'!F9*60*60*24*(10^(-6))*F$2</f>
        <v>212.22777600000003</v>
      </c>
      <c r="G11" s="2">
        <f>'خروجی از سد (دبی)'!G9*60*60*24*(10^(-6))*G$2</f>
        <v>198.36334079999997</v>
      </c>
      <c r="H11" s="2">
        <f>'خروجی از سد (دبی)'!H9*60*60*24*(10^(-6))*H$2</f>
        <v>453.31116480000003</v>
      </c>
      <c r="I11" s="2">
        <f>'خروجی از سد (دبی)'!I9*60*60*24*(10^(-6))*I$2</f>
        <v>598.32509760000005</v>
      </c>
      <c r="J11" s="2">
        <f>'خروجی از سد (دبی)'!J9*60*60*24*(10^(-6))*J$2</f>
        <v>162.03784319999997</v>
      </c>
      <c r="K11" s="2">
        <f>'خروجی از سد (دبی)'!K9*60*60*24*(10^(-6))*K$2</f>
        <v>91.440575999999993</v>
      </c>
      <c r="L11" s="2">
        <f>'خروجی از سد (دبی)'!L9*60*60*24*(10^(-6))*L$2</f>
        <v>100.67034239999998</v>
      </c>
      <c r="M11" s="2">
        <f>'خروجی از سد (دبی)'!M9*60*60*24*(10^(-6))*M$2</f>
        <v>142.43195519999998</v>
      </c>
    </row>
    <row r="12" spans="1:13" x14ac:dyDescent="0.3">
      <c r="A12" s="3">
        <v>1374</v>
      </c>
      <c r="B12" s="2">
        <f>'خروجی از سد (دبی)'!B10*60*60*24*(10^(-6))*B$2</f>
        <v>77.933663999999993</v>
      </c>
      <c r="C12" s="2">
        <f>'خروجی از سد (دبی)'!C10*60*60*24*(10^(-6))*C$2</f>
        <v>26.705376000000001</v>
      </c>
      <c r="D12" s="2">
        <f>'خروجی از سد (دبی)'!D10*60*60*24*(10^(-6))*D$2</f>
        <v>8.4913920000000012</v>
      </c>
      <c r="E12" s="2">
        <f>'خروجی از سد (دبی)'!E10*60*60*24*(10^(-6))*E$2</f>
        <v>9.7588799999999996</v>
      </c>
      <c r="F12" s="2">
        <f>'خروجی از سد (دبی)'!F10*60*60*24*(10^(-6))*F$2</f>
        <v>11.036735999999998</v>
      </c>
      <c r="G12" s="2">
        <f>'خروجی از سد (دبی)'!G10*60*60*24*(10^(-6))*G$2</f>
        <v>15.602371200000002</v>
      </c>
      <c r="H12" s="2">
        <f>'خروجی از سد (دبی)'!H10*60*60*24*(10^(-6))*H$2</f>
        <v>438.20231040000004</v>
      </c>
      <c r="I12" s="2">
        <f>'خروجی از سد (دبی)'!I10*60*60*24*(10^(-6))*I$2</f>
        <v>515.1902399999999</v>
      </c>
      <c r="J12" s="2">
        <f>'خروجی از سد (دبی)'!J10*60*60*24*(10^(-6))*J$2</f>
        <v>127.44095040000002</v>
      </c>
      <c r="K12" s="2">
        <f>'خروجی از سد (دبی)'!K10*60*60*24*(10^(-6))*K$2</f>
        <v>104.44152959999998</v>
      </c>
      <c r="L12" s="2">
        <f>'خروجی از سد (دبی)'!L10*60*60*24*(10^(-6))*L$2</f>
        <v>105.57181440000001</v>
      </c>
      <c r="M12" s="2">
        <f>'خروجی از سد (دبی)'!M10*60*60*24*(10^(-6))*M$2</f>
        <v>100.41321599999999</v>
      </c>
    </row>
    <row r="13" spans="1:13" x14ac:dyDescent="0.3">
      <c r="A13" s="3">
        <v>1375</v>
      </c>
      <c r="B13" s="2">
        <f>'خروجی از سد (دبی)'!B11*60*60*24*(10^(-6))*B$2</f>
        <v>77.630399999999995</v>
      </c>
      <c r="C13" s="2">
        <f>'خروجی از سد (دبی)'!C11*60*60*24*(10^(-6))*C$2</f>
        <v>8.7350400000000015</v>
      </c>
      <c r="D13" s="2">
        <f>'خروجی از سد (دبی)'!D11*60*60*24*(10^(-6))*D$2</f>
        <v>14.103071999999997</v>
      </c>
      <c r="E13" s="2">
        <f>'خروجی از سد (دبی)'!E11*60*60*24*(10^(-6))*E$2</f>
        <v>23.439455999999996</v>
      </c>
      <c r="F13" s="2">
        <f>'خروجی از سد (دبی)'!F11*60*60*24*(10^(-6))*F$2</f>
        <v>13.335839999999999</v>
      </c>
      <c r="G13" s="2">
        <f>'خروجی از سد (دبی)'!G11*60*60*24*(10^(-6))*G$2</f>
        <v>13.036636799999998</v>
      </c>
      <c r="H13" s="2">
        <f>'خروجی از سد (دبی)'!H11*60*60*24*(10^(-6))*H$2</f>
        <v>208.02597119999996</v>
      </c>
      <c r="I13" s="2">
        <f>'خروجی از سد (دبی)'!I11*60*60*24*(10^(-6))*I$2</f>
        <v>400.72078079999994</v>
      </c>
      <c r="J13" s="2">
        <f>'خروجی از سد (دبی)'!J11*60*60*24*(10^(-6))*J$2</f>
        <v>108.72696959999999</v>
      </c>
      <c r="K13" s="2">
        <f>'خروجی از سد (دبی)'!K11*60*60*24*(10^(-6))*K$2</f>
        <v>118.62633599999999</v>
      </c>
      <c r="L13" s="2">
        <f>'خروجی از سد (دبی)'!L11*60*60*24*(10^(-6))*L$2</f>
        <v>102.42737280000001</v>
      </c>
      <c r="M13" s="2">
        <f>'خروجی از سد (دبی)'!M11*60*60*24*(10^(-6))*M$2</f>
        <v>79.253855999999985</v>
      </c>
    </row>
    <row r="14" spans="1:13" x14ac:dyDescent="0.3">
      <c r="A14" s="3">
        <v>1376</v>
      </c>
      <c r="B14" s="2">
        <f>'خروجی از سد (دبی)'!B12*60*60*24*(10^(-6))*B$2</f>
        <v>64.623743999999988</v>
      </c>
      <c r="C14" s="2">
        <f>'خروجی از سد (دبی)'!C12*60*60*24*(10^(-6))*C$2</f>
        <v>50.992415999999984</v>
      </c>
      <c r="D14" s="2">
        <f>'خروجی از سد (دبی)'!D12*60*60*24*(10^(-6))*D$2</f>
        <v>36.43056</v>
      </c>
      <c r="E14" s="2">
        <f>'خروجی از سد (دبی)'!E12*60*60*24*(10^(-6))*E$2</f>
        <v>86.349887999999979</v>
      </c>
      <c r="F14" s="2">
        <f>'خروجی از سد (دبی)'!F12*60*60*24*(10^(-6))*F$2</f>
        <v>136.24847999999994</v>
      </c>
      <c r="G14" s="2">
        <f>'خروجی از سد (دبی)'!G12*60*60*24*(10^(-6))*G$2</f>
        <v>187.48151999999999</v>
      </c>
      <c r="H14" s="2">
        <f>'خروجی از سد (دبی)'!H12*60*60*24*(10^(-6))*H$2</f>
        <v>746.49150720000011</v>
      </c>
      <c r="I14" s="2">
        <f>'خروجی از سد (دبی)'!I12*60*60*24*(10^(-6))*I$2</f>
        <v>451.1336255999999</v>
      </c>
      <c r="J14" s="2">
        <f>'خروجی از سد (دبی)'!J12*60*60*24*(10^(-6))*J$2</f>
        <v>101.6372448</v>
      </c>
      <c r="K14" s="2">
        <f>'خروجی از سد (دبی)'!K12*60*60*24*(10^(-6))*K$2</f>
        <v>78.597647999999978</v>
      </c>
      <c r="L14" s="2">
        <f>'خروجی از سد (دبی)'!L12*60*60*24*(10^(-6))*L$2</f>
        <v>83.316988800000004</v>
      </c>
      <c r="M14" s="2">
        <f>'خروجی از سد (دبی)'!M12*60*60*24*(10^(-6))*M$2</f>
        <v>79.872566400000011</v>
      </c>
    </row>
    <row r="15" spans="1:13" x14ac:dyDescent="0.3">
      <c r="A15" s="3">
        <v>1377</v>
      </c>
      <c r="B15" s="2">
        <f>'خروجی از سد (دبی)'!B13*60*60*24*(10^(-6))*B$2</f>
        <v>63.654336000000008</v>
      </c>
      <c r="C15" s="2">
        <f>'خروجی از سد (دبی)'!C13*60*60*24*(10^(-6))*C$2</f>
        <v>62.736767999999984</v>
      </c>
      <c r="D15" s="2">
        <f>'خروجی از سد (دبی)'!D13*60*60*24*(10^(-6))*D$2</f>
        <v>25.422336000000001</v>
      </c>
      <c r="E15" s="2">
        <f>'خروجی از سد (دبی)'!E13*60*60*24*(10^(-6))*E$2</f>
        <v>18.328031999999997</v>
      </c>
      <c r="F15" s="2">
        <f>'خروجی از سد (دبی)'!F13*60*60*24*(10^(-6))*F$2</f>
        <v>20.694528000000002</v>
      </c>
      <c r="G15" s="2">
        <f>'خروجی از سد (دبی)'!G13*60*60*24*(10^(-6))*G$2</f>
        <v>20.525875199999998</v>
      </c>
      <c r="H15" s="2">
        <f>'خروجی از سد (دبی)'!H13*60*60*24*(10^(-6))*H$2</f>
        <v>19.3969728</v>
      </c>
      <c r="I15" s="2">
        <f>'خروجی از سد (دبی)'!I13*60*60*24*(10^(-6))*I$2</f>
        <v>69.485731200000004</v>
      </c>
      <c r="J15" s="2">
        <f>'خروجی از سد (دبی)'!J13*60*60*24*(10^(-6))*J$2</f>
        <v>64.477123200000008</v>
      </c>
      <c r="K15" s="2">
        <f>'خروجی از سد (دبی)'!K13*60*60*24*(10^(-6))*K$2</f>
        <v>53.82780480000001</v>
      </c>
      <c r="L15" s="2">
        <f>'خروجی از سد (دبی)'!L13*60*60*24*(10^(-6))*L$2</f>
        <v>46.612195199999988</v>
      </c>
      <c r="M15" s="2">
        <f>'خروجی از سد (دبی)'!M13*60*60*24*(10^(-6))*M$2</f>
        <v>39.1501728</v>
      </c>
    </row>
    <row r="16" spans="1:13" x14ac:dyDescent="0.3">
      <c r="A16" s="3">
        <v>1378</v>
      </c>
      <c r="B16" s="2">
        <f>'خروجی از سد (دبی)'!B14*60*60*24*(10^(-6))*B$2</f>
        <v>11.783231999999998</v>
      </c>
      <c r="C16" s="2">
        <f>'خروجی از سد (دبی)'!C14*60*60*24*(10^(-6))*C$2</f>
        <v>7.2498240000000003</v>
      </c>
      <c r="D16" s="2">
        <f>'خروجی از سد (دبی)'!D14*60*60*24*(10^(-6))*D$2</f>
        <v>5.2773120000000002</v>
      </c>
      <c r="E16" s="2">
        <f>'خروجی از سد (دبی)'!E14*60*60*24*(10^(-6))*E$2</f>
        <v>3.8879999999999999</v>
      </c>
      <c r="F16" s="2">
        <f>'خروجی از سد (دبی)'!F14*60*60*24*(10^(-6))*F$2</f>
        <v>3.5639999999999996</v>
      </c>
      <c r="G16" s="2">
        <f>'خروجی از سد (دبی)'!G14*60*60*24*(10^(-6))*G$2</f>
        <v>3.5078399999999998</v>
      </c>
      <c r="H16" s="2">
        <f>'خروجی از سد (دبی)'!H14*60*60*24*(10^(-6))*H$2</f>
        <v>4.1247360000000004</v>
      </c>
      <c r="I16" s="2">
        <f>'خروجی از سد (دبی)'!I14*60*60*24*(10^(-6))*I$2</f>
        <v>97.611609600000008</v>
      </c>
      <c r="J16" s="2">
        <f>'خروجی از سد (دبی)'!J14*60*60*24*(10^(-6))*J$2</f>
        <v>86.841763200000003</v>
      </c>
      <c r="K16" s="2">
        <f>'خروجی از سد (دبی)'!K14*60*60*24*(10^(-6))*K$2</f>
        <v>49.638787200000003</v>
      </c>
      <c r="L16" s="2">
        <f>'خروجی از سد (دبی)'!L14*60*60*24*(10^(-6))*L$2</f>
        <v>104.6825856</v>
      </c>
      <c r="M16" s="2">
        <f>'خروجی از سد (دبی)'!M14*60*60*24*(10^(-6))*M$2</f>
        <v>68.706316799999996</v>
      </c>
    </row>
    <row r="17" spans="1:13" x14ac:dyDescent="0.3">
      <c r="A17" s="3">
        <v>1379</v>
      </c>
      <c r="B17" s="2">
        <f>'خروجی از سد (دبی)'!B15*60*60*24*(10^(-6))*B$2</f>
        <v>19.271519999999995</v>
      </c>
      <c r="C17" s="2">
        <f>'خروجی از سد (دبی)'!C15*60*60*24*(10^(-6))*C$2</f>
        <v>16.381440000000001</v>
      </c>
      <c r="D17" s="2">
        <f>'خروجی از سد (دبی)'!D15*60*60*24*(10^(-6))*D$2</f>
        <v>9.007200000000001</v>
      </c>
      <c r="E17" s="2">
        <f>'خروجی از سد (دبی)'!E15*60*60*24*(10^(-6))*E$2</f>
        <v>6.8688000000000002</v>
      </c>
      <c r="F17" s="2">
        <f>'خروجی از سد (دبی)'!F15*60*60*24*(10^(-6))*F$2</f>
        <v>7.2912959999999991</v>
      </c>
      <c r="G17" s="2">
        <f>'خروجی از سد (دبی)'!G15*60*60*24*(10^(-6))*G$2</f>
        <v>10.345622399999998</v>
      </c>
      <c r="H17" s="2">
        <f>'خروجی از سد (دبی)'!H15*60*60*24*(10^(-6))*H$2</f>
        <v>10.4752224</v>
      </c>
      <c r="I17" s="2">
        <f>'خروجی از سد (دبی)'!I15*60*60*24*(10^(-6))*I$2</f>
        <v>69.7107168</v>
      </c>
      <c r="J17" s="2">
        <f>'خروجی از سد (دبی)'!J15*60*60*24*(10^(-6))*J$2</f>
        <v>65.669011199999986</v>
      </c>
      <c r="K17" s="2">
        <f>'خروجی از سد (دبی)'!K15*60*60*24*(10^(-6))*K$2</f>
        <v>68.309913599999987</v>
      </c>
      <c r="L17" s="2">
        <f>'خروجی از سد (دبی)'!L15*60*60*24*(10^(-6))*L$2</f>
        <v>68.280451199999987</v>
      </c>
      <c r="M17" s="2">
        <f>'خروجی از سد (دبی)'!M15*60*60*24*(10^(-6))*M$2</f>
        <v>26.320636799999999</v>
      </c>
    </row>
    <row r="18" spans="1:13" x14ac:dyDescent="0.3">
      <c r="A18" s="3">
        <v>1380</v>
      </c>
      <c r="B18" s="2">
        <f>'خروجی از سد (دبی)'!B16*60*60*24*(10^(-6))*B$2</f>
        <v>15.103584000000001</v>
      </c>
      <c r="C18" s="2">
        <f>'خروجی از سد (دبی)'!C16*60*60*24*(10^(-6))*C$2</f>
        <v>19.862496000000004</v>
      </c>
      <c r="D18" s="2">
        <f>'خروجی از سد (دبی)'!D16*60*60*24*(10^(-6))*D$2</f>
        <v>15.552</v>
      </c>
      <c r="E18" s="2">
        <f>'خروجی از سد (دبی)'!E16*60*60*24*(10^(-6))*E$2</f>
        <v>5.6064959999999999</v>
      </c>
      <c r="F18" s="2">
        <f>'خروجی از سد (دبی)'!F16*60*60*24*(10^(-6))*F$2</f>
        <v>7.7578559999999994</v>
      </c>
      <c r="G18" s="2">
        <f>'خروجی از سد (دبی)'!G16*60*60*24*(10^(-6))*G$2</f>
        <v>124.25771520000002</v>
      </c>
      <c r="H18" s="2">
        <f>'خروجی از سد (دبی)'!H16*60*60*24*(10^(-6))*H$2</f>
        <v>482.62893120000001</v>
      </c>
      <c r="I18" s="2">
        <f>'خروجی از سد (دبی)'!I16*60*60*24*(10^(-6))*I$2</f>
        <v>265.37855039999999</v>
      </c>
      <c r="J18" s="2">
        <f>'خروجی از سد (دبی)'!J16*60*60*24*(10^(-6))*J$2</f>
        <v>111.75623999999999</v>
      </c>
      <c r="K18" s="2">
        <f>'خروجی از سد (دبی)'!K16*60*60*24*(10^(-6))*K$2</f>
        <v>86.922115199999993</v>
      </c>
      <c r="L18" s="2">
        <f>'خروجی از سد (دبی)'!L16*60*60*24*(10^(-6))*L$2</f>
        <v>88.328275199999993</v>
      </c>
      <c r="M18" s="2">
        <f>'خروجی از سد (دبی)'!M16*60*60*24*(10^(-6))*M$2</f>
        <v>81.142128</v>
      </c>
    </row>
    <row r="19" spans="1:13" x14ac:dyDescent="0.3">
      <c r="A19" s="3">
        <v>1381</v>
      </c>
      <c r="B19" s="2">
        <f>'خروجی از سد (دبی)'!B17*60*60*24*(10^(-6))*B$2</f>
        <v>18.255455999999999</v>
      </c>
      <c r="C19" s="2">
        <f>'خروجی از سد (دبی)'!C17*60*60*24*(10^(-6))*C$2</f>
        <v>62.900063999999993</v>
      </c>
      <c r="D19" s="2">
        <f>'خروجی از سد (دبی)'!D17*60*60*24*(10^(-6))*D$2</f>
        <v>24.113376000000002</v>
      </c>
      <c r="E19" s="2">
        <f>'خروجی از سد (دبی)'!E17*60*60*24*(10^(-6))*E$2</f>
        <v>9.4348799999999997</v>
      </c>
      <c r="F19" s="2">
        <f>'خروجی از سد (دبی)'!F17*60*60*24*(10^(-6))*F$2</f>
        <v>127.9152</v>
      </c>
      <c r="G19" s="2">
        <f>'خروجی از سد (دبی)'!G17*60*60*24*(10^(-6))*G$2</f>
        <v>181.04212799999993</v>
      </c>
      <c r="H19" s="2">
        <f>'خروجی از سد (دبی)'!H17*60*60*24*(10^(-6))*H$2</f>
        <v>1024.5737087999998</v>
      </c>
      <c r="I19" s="2">
        <f>'خروجی از سد (دبی)'!I17*60*60*24*(10^(-6))*I$2</f>
        <v>675.4415904</v>
      </c>
      <c r="J19" s="2">
        <f>'خروجی از سد (دبی)'!J17*60*60*24*(10^(-6))*J$2</f>
        <v>210.0561984</v>
      </c>
      <c r="K19" s="2">
        <f>'خروجی از سد (دبی)'!K17*60*60*24*(10^(-6))*K$2</f>
        <v>106.75566719999999</v>
      </c>
      <c r="L19" s="2">
        <f>'خروجی از سد (دبی)'!L17*60*60*24*(10^(-6))*L$2</f>
        <v>149.61810239999997</v>
      </c>
      <c r="M19" s="2">
        <f>'خروجی از سد (دبی)'!M17*60*60*24*(10^(-6))*M$2</f>
        <v>129.39350400000004</v>
      </c>
    </row>
    <row r="20" spans="1:13" x14ac:dyDescent="0.3">
      <c r="A20" s="3">
        <v>1382</v>
      </c>
      <c r="B20" s="2">
        <f>'خروجی از سد (دبی)'!B18*60*60*24*(10^(-6))*B$2</f>
        <v>39.242880000000007</v>
      </c>
      <c r="C20" s="2">
        <f>'خروجی از سد (دبی)'!C18*60*60*24*(10^(-6))*C$2</f>
        <v>87.609599999999986</v>
      </c>
      <c r="D20" s="2">
        <f>'خروجی از سد (دبی)'!D18*60*60*24*(10^(-6))*D$2</f>
        <v>75.756384000000011</v>
      </c>
      <c r="E20" s="2">
        <f>'خروجی از سد (دبی)'!E18*60*60*24*(10^(-6))*E$2</f>
        <v>111.334176</v>
      </c>
      <c r="F20" s="2">
        <f>'خروجی از سد (دبی)'!F18*60*60*24*(10^(-6))*F$2</f>
        <v>28.641599999999997</v>
      </c>
      <c r="G20" s="2">
        <f>'خروجی از سد (دبی)'!G18*60*60*24*(10^(-6))*G$2</f>
        <v>216.92482559999996</v>
      </c>
      <c r="H20" s="2">
        <f>'خروجی از سد (دبی)'!H18*60*60*24*(10^(-6))*H$2</f>
        <v>245.37625919999996</v>
      </c>
      <c r="I20" s="2">
        <f>'خروجی از سد (دبی)'!I18*60*60*24*(10^(-6))*I$2</f>
        <v>396.11928959999989</v>
      </c>
      <c r="J20" s="2">
        <f>'خروجی از سد (دبی)'!J18*60*60*24*(10^(-6))*J$2</f>
        <v>196.95882239999997</v>
      </c>
      <c r="K20" s="2">
        <f>'خروجی از سد (دبی)'!K18*60*60*24*(10^(-6))*K$2</f>
        <v>136.63321919999998</v>
      </c>
      <c r="L20" s="2">
        <f>'خروجی از سد (دبی)'!L18*60*60*24*(10^(-6))*L$2</f>
        <v>88.965734400000002</v>
      </c>
      <c r="M20" s="2">
        <f>'خروجی از سد (دبی)'!M18*60*60*24*(10^(-6))*M$2</f>
        <v>102.87734399999999</v>
      </c>
    </row>
    <row r="21" spans="1:13" x14ac:dyDescent="0.3">
      <c r="A21" s="3">
        <v>1383</v>
      </c>
      <c r="B21" s="2">
        <f>'خروجی از سد (دبی)'!B19*60*60*24*(10^(-6))*B$2</f>
        <v>14.126399999999999</v>
      </c>
      <c r="C21" s="2">
        <f>'خروجی از سد (دبی)'!C19*60*60*24*(10^(-6))*C$2</f>
        <v>31.329504</v>
      </c>
      <c r="D21" s="2">
        <f>'خروجی از سد (دبی)'!D19*60*60*24*(10^(-6))*D$2</f>
        <v>34.906463999999993</v>
      </c>
      <c r="E21" s="2">
        <f>'خروجی از سد (دبی)'!E19*60*60*24*(10^(-6))*E$2</f>
        <v>60.100703999999993</v>
      </c>
      <c r="F21" s="2">
        <f>'خروجی از سد (دبی)'!F19*60*60*24*(10^(-6))*F$2</f>
        <v>141.204384</v>
      </c>
      <c r="G21" s="2">
        <f>'خروجی از سد (دبی)'!G19*60*60*24*(10^(-6))*G$2</f>
        <v>345.79785599999991</v>
      </c>
      <c r="H21" s="2">
        <f>'خروجی از سد (دبی)'!H19*60*60*24*(10^(-6))*H$2</f>
        <v>360.68673599999994</v>
      </c>
      <c r="I21" s="2">
        <f>'خروجی از سد (دبی)'!I19*60*60*24*(10^(-6))*I$2</f>
        <v>257.30049599999995</v>
      </c>
      <c r="J21" s="2">
        <f>'خروجی از سد (دبی)'!J19*60*60*24*(10^(-6))*J$2</f>
        <v>107.94755519999998</v>
      </c>
      <c r="K21" s="2">
        <f>'خروجی از سد (دبی)'!K19*60*60*24*(10^(-6))*K$2</f>
        <v>90.805795199999977</v>
      </c>
      <c r="L21" s="2">
        <f>'خروجی از سد (دبی)'!L19*60*60*24*(10^(-6))*L$2</f>
        <v>89.959420800000004</v>
      </c>
      <c r="M21" s="2">
        <f>'خروجی از سد (دبی)'!M19*60*60*24*(10^(-6))*M$2</f>
        <v>96.620601600000001</v>
      </c>
    </row>
    <row r="22" spans="1:13" x14ac:dyDescent="0.3">
      <c r="A22" s="3">
        <v>1384</v>
      </c>
      <c r="B22" s="2">
        <f>'خروجی از سد (دبی)'!B20*60*60*24*(10^(-6))*B$2</f>
        <v>28.120608000000001</v>
      </c>
      <c r="C22" s="2">
        <f>'خروجی از سد (دبی)'!C20*60*60*24*(10^(-6))*C$2</f>
        <v>55.709855999999988</v>
      </c>
      <c r="D22" s="2">
        <f>'خروجی از سد (دبی)'!D20*60*60*24*(10^(-6))*D$2</f>
        <v>8.058527999999999</v>
      </c>
      <c r="E22" s="2">
        <f>'خروجی از سد (دبی)'!E20*60*60*24*(10^(-6))*E$2</f>
        <v>6.7573439999999998</v>
      </c>
      <c r="F22" s="2">
        <f>'خروجی از سد (دبی)'!F20*60*60*24*(10^(-6))*F$2</f>
        <v>68.05555200000002</v>
      </c>
      <c r="G22" s="2">
        <f>'خروجی از سد (دبی)'!G20*60*60*24*(10^(-6))*G$2</f>
        <v>242.57715839999997</v>
      </c>
      <c r="H22" s="2">
        <f>'خروجی از سد (دبی)'!H20*60*60*24*(10^(-6))*H$2</f>
        <v>313.71831360000004</v>
      </c>
      <c r="I22" s="2">
        <f>'خروجی از سد (دبی)'!I20*60*60*24*(10^(-6))*I$2</f>
        <v>286.32096000000001</v>
      </c>
      <c r="J22" s="2">
        <f>'خروجی از سد (دبی)'!J20*60*60*24*(10^(-6))*J$2</f>
        <v>129.43635840000002</v>
      </c>
      <c r="K22" s="2">
        <f>'خروجی از سد (دبی)'!K20*60*60*24*(10^(-6))*K$2</f>
        <v>104.216544</v>
      </c>
      <c r="L22" s="2">
        <f>'خروجی از سد (دبی)'!L20*60*60*24*(10^(-6))*L$2</f>
        <v>118.73882880000001</v>
      </c>
      <c r="M22" s="2">
        <f>'خروجی از سد (دبی)'!M20*60*60*24*(10^(-6))*M$2</f>
        <v>62.312975999999999</v>
      </c>
    </row>
    <row r="23" spans="1:13" x14ac:dyDescent="0.3">
      <c r="A23" s="3">
        <v>1385</v>
      </c>
      <c r="B23" s="2">
        <f>'خروجی از سد (دبی)'!B21*60*60*24*(10^(-6))*B$2</f>
        <v>30.997727999999995</v>
      </c>
      <c r="C23" s="2">
        <f>'خروجی از سد (دبی)'!C21*60*60*24*(10^(-6))*C$2</f>
        <v>60.572447999999994</v>
      </c>
      <c r="D23" s="2">
        <f>'خروجی از سد (دبی)'!D21*60*60*24*(10^(-6))*D$2</f>
        <v>149.98089599999997</v>
      </c>
      <c r="E23" s="2">
        <f>'خروجی از سد (دبی)'!E21*60*60*24*(10^(-6))*E$2</f>
        <v>87.07823999999998</v>
      </c>
      <c r="F23" s="2">
        <f>'خروجی از سد (دبی)'!F21*60*60*24*(10^(-6))*F$2</f>
        <v>23.550911999999997</v>
      </c>
      <c r="G23" s="2">
        <f>'خروجی از سد (دبی)'!G21*60*60*24*(10^(-6))*G$2</f>
        <v>25.341638400000001</v>
      </c>
      <c r="H23" s="2">
        <f>'خروجی از سد (دبی)'!H21*60*60*24*(10^(-6))*H$2</f>
        <v>184.41587519999996</v>
      </c>
      <c r="I23" s="2">
        <f>'خروجی از سد (دبی)'!I21*60*60*24*(10^(-6))*I$2</f>
        <v>361.89469439999999</v>
      </c>
      <c r="J23" s="2">
        <f>'خروجی از سد (دبی)'!J21*60*60*24*(10^(-6))*J$2</f>
        <v>160.59418559999997</v>
      </c>
      <c r="K23" s="2">
        <f>'خروجی از سد (دبی)'!K21*60*60*24*(10^(-6))*K$2</f>
        <v>101.73634559999999</v>
      </c>
      <c r="L23" s="2">
        <f>'خروجی از سد (دبی)'!L21*60*60*24*(10^(-6))*L$2</f>
        <v>88.111324799999991</v>
      </c>
      <c r="M23" s="2">
        <f>'خروجی از سد (دبی)'!M21*60*60*24*(10^(-6))*M$2</f>
        <v>83.825884799999997</v>
      </c>
    </row>
    <row r="24" spans="1:13" x14ac:dyDescent="0.3">
      <c r="A24" s="3">
        <v>1386</v>
      </c>
      <c r="B24" s="2">
        <f>'خروجی از سد (دبی)'!B22*60*60*24*(10^(-6))*B$2</f>
        <v>13.460255999999998</v>
      </c>
      <c r="C24" s="2">
        <f>'خروجی از سد (دبی)'!C22*60*60*24*(10^(-6))*C$2</f>
        <v>15.028415999999998</v>
      </c>
      <c r="D24" s="2">
        <f>'خروجی از سد (دبی)'!D22*60*60*24*(10^(-6))*D$2</f>
        <v>10.624607999999998</v>
      </c>
      <c r="E24" s="2">
        <f>'خروجی از سد (دبی)'!E22*60*60*24*(10^(-6))*E$2</f>
        <v>15.79824</v>
      </c>
      <c r="F24" s="2">
        <f>'خروجی از سد (دبی)'!F22*60*60*24*(10^(-6))*F$2</f>
        <v>15.463872</v>
      </c>
      <c r="G24" s="2">
        <f>'خروجی از سد (دبی)'!G22*60*60*24*(10^(-6))*G$2</f>
        <v>6.5972447999999995</v>
      </c>
      <c r="H24" s="2">
        <f>'خروجی از سد (دبی)'!H22*60*60*24*(10^(-6))*H$2</f>
        <v>6.3237024000000011</v>
      </c>
      <c r="I24" s="2">
        <f>'خروجی از سد (دبی)'!I22*60*60*24*(10^(-6))*I$2</f>
        <v>76.246012800000003</v>
      </c>
      <c r="J24" s="2">
        <f>'خروجی از سد (دبی)'!J22*60*60*24*(10^(-6))*J$2</f>
        <v>49.515580799999981</v>
      </c>
      <c r="K24" s="2">
        <f>'خروجی از سد (دبی)'!K22*60*60*24*(10^(-6))*K$2</f>
        <v>44.852486399999997</v>
      </c>
      <c r="L24" s="2">
        <f>'خروجی از سد (دبی)'!L22*60*60*24*(10^(-6))*L$2</f>
        <v>50.747644799999989</v>
      </c>
      <c r="M24" s="2">
        <f>'خروجی از سد (دبی)'!M22*60*60*24*(10^(-6))*M$2</f>
        <v>28.924041599999995</v>
      </c>
    </row>
    <row r="25" spans="1:13" x14ac:dyDescent="0.3">
      <c r="A25" s="3">
        <v>1387</v>
      </c>
      <c r="B25" s="2">
        <f>'خروجی از سد (دبی)'!B23*60*60*24*(10^(-6))*B$2</f>
        <v>15.86304</v>
      </c>
      <c r="C25" s="2">
        <f>'خروجی از سد (دبی)'!C23*60*60*24*(10^(-6))*C$2</f>
        <v>8.9087040000000002</v>
      </c>
      <c r="D25" s="2">
        <f>'خروجی از سد (دبی)'!D23*60*60*24*(10^(-6))*D$2</f>
        <v>13.385087999999998</v>
      </c>
      <c r="E25" s="2">
        <f>'خروجی از سد (دبی)'!E23*60*60*24*(10^(-6))*E$2</f>
        <v>16.339968000000002</v>
      </c>
      <c r="F25" s="2">
        <f>'خروجی از سد (دبی)'!F23*60*60*24*(10^(-6))*F$2</f>
        <v>12.021695999999999</v>
      </c>
      <c r="G25" s="2">
        <f>'خروجی از سد (دبی)'!G23*60*60*24*(10^(-6))*G$2</f>
        <v>7.1058816</v>
      </c>
      <c r="H25" s="2">
        <f>'خروجی از سد (دبی)'!H23*60*60*24*(10^(-6))*H$2</f>
        <v>145.36480320000001</v>
      </c>
      <c r="I25" s="2">
        <f>'خروجی از سد (دبی)'!I23*60*60*24*(10^(-6))*I$2</f>
        <v>177.46810559999997</v>
      </c>
      <c r="J25" s="2">
        <f>'خروجی از سد (دبی)'!J23*60*60*24*(10^(-6))*J$2</f>
        <v>75.214828800000006</v>
      </c>
      <c r="K25" s="2">
        <f>'خروجی از سد (دبی)'!K23*60*60*24*(10^(-6))*K$2</f>
        <v>95.763513599999982</v>
      </c>
      <c r="L25" s="2">
        <f>'خروجی از سد (دبی)'!L23*60*60*24*(10^(-6))*L$2</f>
        <v>112.66689599999997</v>
      </c>
      <c r="M25" s="2">
        <f>'خروجی از سد (دبی)'!M23*60*60*24*(10^(-6))*M$2</f>
        <v>20.237990400000001</v>
      </c>
    </row>
    <row r="26" spans="1:13" x14ac:dyDescent="0.3">
      <c r="A26" s="3">
        <v>1388</v>
      </c>
      <c r="B26" s="2">
        <f>'خروجی از سد (دبی)'!B24*60*60*24*(10^(-6))*B$2</f>
        <v>19.185984000000001</v>
      </c>
      <c r="C26" s="2">
        <f>'خروجی از سد (دبی)'!C24*60*60*24*(10^(-6))*C$2</f>
        <v>65.994911999999999</v>
      </c>
      <c r="D26" s="2">
        <f>'خروجی از سد (دبی)'!D24*60*60*24*(10^(-6))*D$2</f>
        <v>12.527136</v>
      </c>
      <c r="E26" s="2">
        <f>'خروجی از سد (دبی)'!E24*60*60*24*(10^(-6))*E$2</f>
        <v>10.300607999999999</v>
      </c>
      <c r="F26" s="2">
        <f>'خروجی از سد (دبی)'!F24*60*60*24*(10^(-6))*F$2</f>
        <v>6.2674560000000001</v>
      </c>
      <c r="G26" s="2">
        <f>'خروجی از سد (دبی)'!G24*60*60*24*(10^(-6))*G$2</f>
        <v>76.305542399999993</v>
      </c>
      <c r="H26" s="2">
        <f>'خروجی از سد (دبی)'!H24*60*60*24*(10^(-6))*H$2</f>
        <v>222.31523520000002</v>
      </c>
      <c r="I26" s="2">
        <f>'خروجی از سد (دبی)'!I24*60*60*24*(10^(-6))*I$2</f>
        <v>270.0014688</v>
      </c>
      <c r="J26" s="2">
        <f>'خروجی از سد (دبی)'!J24*60*60*24*(10^(-6))*J$2</f>
        <v>137.964384</v>
      </c>
      <c r="K26" s="2">
        <f>'خروجی از سد (دبی)'!K24*60*60*24*(10^(-6))*K$2</f>
        <v>115.66402559999999</v>
      </c>
      <c r="L26" s="2">
        <f>'خروجی از سد (دبی)'!L24*60*60*24*(10^(-6))*L$2</f>
        <v>120.68870400000002</v>
      </c>
      <c r="M26" s="2">
        <f>'خروجی از سد (دبی)'!M24*60*60*24*(10^(-6))*M$2</f>
        <v>122.98944959999999</v>
      </c>
    </row>
    <row r="27" spans="1:13" x14ac:dyDescent="0.3">
      <c r="A27" s="3">
        <v>1389</v>
      </c>
      <c r="B27" s="2">
        <f>'خروجی از سد (دبی)'!B25*60*60*24*(10^(-6))*B$2</f>
        <v>22.954751999999999</v>
      </c>
      <c r="C27" s="2">
        <f>'خروجی از سد (دبی)'!C25*60*60*24*(10^(-6))*C$2</f>
        <v>70.502399999999994</v>
      </c>
      <c r="D27" s="2">
        <f>'خروجی از سد (دبی)'!D25*60*60*24*(10^(-6))*D$2</f>
        <v>22.607423999999998</v>
      </c>
      <c r="E27" s="2">
        <f>'خروجی از سد (دبی)'!E25*60*60*24*(10^(-6))*E$2</f>
        <v>11.977632</v>
      </c>
      <c r="F27" s="2">
        <f>'خروجی از سد (دبی)'!F25*60*60*24*(10^(-6))*F$2</f>
        <v>13.970879999999999</v>
      </c>
      <c r="G27" s="2">
        <f>'خروجی از سد (دبی)'!G25*60*60*24*(10^(-6))*G$2</f>
        <v>7.7548320000000013</v>
      </c>
      <c r="H27" s="2">
        <f>'خروجی از سد (دبی)'!H25*60*60*24*(10^(-6))*H$2</f>
        <v>4.2050879999999999</v>
      </c>
      <c r="I27" s="2">
        <f>'خروجی از سد (دبی)'!I25*60*60*24*(10^(-6))*I$2</f>
        <v>327.78259199999997</v>
      </c>
      <c r="J27" s="2">
        <f>'خروجی از سد (دبی)'!J25*60*60*24*(10^(-6))*J$2</f>
        <v>161.74054080000002</v>
      </c>
      <c r="K27" s="2">
        <f>'خروجی از سد (دبی)'!K25*60*60*24*(10^(-6))*K$2</f>
        <v>130.81841280000003</v>
      </c>
      <c r="L27" s="2">
        <f>'خروجی از سد (دبی)'!L25*60*60*24*(10^(-6))*L$2</f>
        <v>125.81516159999997</v>
      </c>
      <c r="M27" s="2">
        <f>'خروجی از سد (دبی)'!M25*60*60*24*(10^(-6))*M$2</f>
        <v>104.0236992</v>
      </c>
    </row>
    <row r="28" spans="1:13" x14ac:dyDescent="0.3">
      <c r="A28" s="3">
        <v>1390</v>
      </c>
      <c r="B28" s="2">
        <f>'خروجی از سد (دبی)'!B26*60*60*24*(10^(-6))*B$2</f>
        <v>35.334143999999988</v>
      </c>
      <c r="C28" s="2">
        <f>'خروجی از سد (دبی)'!C26*60*60*24*(10^(-6))*C$2</f>
        <v>39.737952</v>
      </c>
      <c r="D28" s="2">
        <f>'خروجی از سد (دبی)'!D26*60*60*24*(10^(-6))*D$2</f>
        <v>21.078143999999998</v>
      </c>
      <c r="E28" s="2">
        <f>'خروجی از سد (دبی)'!E26*60*60*24*(10^(-6))*E$2</f>
        <v>20.209824000000001</v>
      </c>
      <c r="F28" s="2">
        <f>'خروجی از سد (دبی)'!F26*60*60*24*(10^(-6))*F$2</f>
        <v>18.271008000000002</v>
      </c>
      <c r="G28" s="2">
        <f>'خروجی از سد (دبی)'!G26*60*60*24*(10^(-6))*G$2</f>
        <v>13.605407999999995</v>
      </c>
      <c r="H28" s="2">
        <f>'خروجی از سد (دبی)'!H26*60*60*24*(10^(-6))*H$2</f>
        <v>462.59717760000001</v>
      </c>
      <c r="I28" s="2">
        <f>'خروجی از سد (دبی)'!I26*60*60*24*(10^(-6))*I$2</f>
        <v>360.53942399999994</v>
      </c>
      <c r="J28" s="2">
        <f>'خروجی از سد (دبی)'!J26*60*60*24*(10^(-6))*J$2</f>
        <v>145.35141119999997</v>
      </c>
      <c r="K28" s="2">
        <f>'خروجی از سد (دبی)'!K26*60*60*24*(10^(-6))*K$2</f>
        <v>129.01317119999999</v>
      </c>
      <c r="L28" s="2">
        <f>'خروجی از سد (دبی)'!L26*60*60*24*(10^(-6))*L$2</f>
        <v>120.33247679999999</v>
      </c>
      <c r="M28" s="2">
        <f>'خروجی از سد (دبی)'!M26*60*60*24*(10^(-6))*M$2</f>
        <v>94.4912736</v>
      </c>
    </row>
    <row r="29" spans="1:13" x14ac:dyDescent="0.3">
      <c r="A29" s="4">
        <v>1391</v>
      </c>
      <c r="B29" s="2">
        <f>'خروجی از سد (دبی)'!B27*60*60*24*(10^(-6))*B$2</f>
        <v>138.547584</v>
      </c>
      <c r="C29" s="2">
        <f>'خروجی از سد (دبی)'!C27*60*60*24*(10^(-6))*C$2</f>
        <v>149.84352000000004</v>
      </c>
      <c r="D29" s="2">
        <f>'خروجی از سد (دبی)'!D27*60*60*24*(10^(-6))*D$2</f>
        <v>145.95552000000004</v>
      </c>
      <c r="E29" s="2">
        <f>'خروجی از سد (دبی)'!E27*60*60*24*(10^(-6))*E$2</f>
        <v>122.65084800000002</v>
      </c>
      <c r="F29" s="2">
        <f>'خروجی از سد (دبی)'!F27*60*60*24*(10^(-6))*F$2</f>
        <v>118.62287999999999</v>
      </c>
      <c r="G29" s="2">
        <f>'خروجی از سد (دبی)'!G27*60*60*24*(10^(-6))*G$2</f>
        <v>73.794931200000008</v>
      </c>
      <c r="H29" s="2">
        <f>'خروجی از سد (دبی)'!H27*60*60*24*(10^(-6))*H$2</f>
        <v>19.836230399999994</v>
      </c>
      <c r="I29" s="2">
        <f>'خروجی از سد (دبی)'!I27*60*60*24*(10^(-6))*I$2</f>
        <v>22.254825599999997</v>
      </c>
      <c r="J29" s="2">
        <f>'خروجی از سد (دبی)'!J27*60*60*24*(10^(-6))*J$2</f>
        <v>30.973017600000002</v>
      </c>
      <c r="K29" s="2">
        <f>'خروجی از سد (دبی)'!K27*60*60*24*(10^(-6))*K$2</f>
        <v>33.721055999999997</v>
      </c>
      <c r="L29" s="2">
        <f>'خروجی از سد (دبی)'!L27*60*60*24*(10^(-6))*L$2</f>
        <v>79.2886752</v>
      </c>
      <c r="M29" s="2">
        <f>'خروجی از سد (دبی)'!M27*60*60*24*(10^(-6))*M$2</f>
        <v>38.025244799999996</v>
      </c>
    </row>
    <row r="30" spans="1:13" x14ac:dyDescent="0.3">
      <c r="A30" s="4">
        <v>1392</v>
      </c>
      <c r="B30" s="2">
        <f>'خروجی از سد (دبی)'!B28*60*60*24*(10^(-6))*B$2</f>
        <v>118.939104</v>
      </c>
      <c r="C30" s="2">
        <f>'خروجی از سد (دبی)'!C28*60*60*24*(10^(-6))*C$2</f>
        <v>163.33747199999999</v>
      </c>
      <c r="D30" s="2">
        <f>'خروجی از سد (دبی)'!D28*60*60*24*(10^(-6))*D$2</f>
        <v>158.87404799999996</v>
      </c>
      <c r="E30" s="2">
        <f>'خروجی از سد (دبی)'!E28*60*60*24*(10^(-6))*E$2</f>
        <v>128.52950400000003</v>
      </c>
      <c r="F30" s="2">
        <f>'خروجی از سد (دبی)'!F28*60*60*24*(10^(-6))*F$2</f>
        <v>105.85468800000001</v>
      </c>
      <c r="G30" s="2">
        <f>'خروجی از سد (دبی)'!G28*60*60*24*(10^(-6))*G$2</f>
        <v>28.255651199999996</v>
      </c>
      <c r="H30" s="2">
        <f>'خروجی از سد (دبی)'!H28*60*60*24*(10^(-6))*H$2</f>
        <v>31.6238688</v>
      </c>
      <c r="I30" s="2">
        <f>'خروجی از سد (دبی)'!I28*60*60*24*(10^(-6))*I$2</f>
        <v>32.837184000000001</v>
      </c>
      <c r="J30" s="2">
        <f>'خروجی از سد (دبی)'!J28*60*60*24*(10^(-6))*J$2</f>
        <v>33.576422399999991</v>
      </c>
      <c r="K30" s="2">
        <f>'خروجی از سد (دبی)'!K28*60*60*24*(10^(-6))*K$2</f>
        <v>36.043228800000001</v>
      </c>
      <c r="L30" s="2">
        <f>'خروجی از سد (دبی)'!L28*60*60*24*(10^(-6))*L$2</f>
        <v>67.621564799999987</v>
      </c>
      <c r="M30" s="2">
        <f>'خروجی از سد (دبی)'!M28*60*60*24*(10^(-6))*M$2</f>
        <v>53.747452799999991</v>
      </c>
    </row>
    <row r="31" spans="1:13" x14ac:dyDescent="0.3">
      <c r="A31" s="4">
        <v>1393</v>
      </c>
      <c r="B31" s="2">
        <f>'خروجی از سد (دبی)'!B29*60*60*24*(10^(-6))*B$2</f>
        <v>96.297984</v>
      </c>
      <c r="C31" s="2">
        <f>'خروجی از سد (دبی)'!C29*60*60*24*(10^(-6))*C$2</f>
        <v>111.707424</v>
      </c>
      <c r="D31" s="2">
        <f>'خروجی از سد (دبی)'!D29*60*60*24*(10^(-6))*D$2</f>
        <v>103.48041600000001</v>
      </c>
      <c r="E31" s="2">
        <f>'خروجی از سد (دبی)'!E29*60*60*24*(10^(-6))*E$2</f>
        <v>126.77472</v>
      </c>
      <c r="F31" s="2">
        <f>'خروجی از سد (دبی)'!F29*60*60*24*(10^(-6))*F$2</f>
        <v>93.477887999999993</v>
      </c>
      <c r="G31" s="2">
        <f>'خروجی از سد (دبی)'!G29*60*60*24*(10^(-6))*G$2</f>
        <v>21.771158400000004</v>
      </c>
      <c r="H31" s="2">
        <f>'خروجی از سد (دبی)'!H29*60*60*24*(10^(-6))*H$2</f>
        <v>34.907587200000002</v>
      </c>
      <c r="I31" s="2">
        <f>'خروجی از سد (دبی)'!I29*60*60*24*(10^(-6))*I$2</f>
        <v>52.408252799999993</v>
      </c>
      <c r="J31" s="2">
        <f>'خروجی از سد (دبی)'!J29*60*60*24*(10^(-6))*J$2</f>
        <v>17.773862400000002</v>
      </c>
      <c r="K31" s="2">
        <f>'خروجی از سد (دبی)'!K29*60*60*24*(10^(-6))*K$2</f>
        <v>27.788399999999999</v>
      </c>
      <c r="L31" s="2">
        <f>'خروجی از سد (دبی)'!L29*60*60*24*(10^(-6))*L$2</f>
        <v>29.1222432</v>
      </c>
      <c r="M31" s="2">
        <f>'خروجی از سد (دبی)'!M29*60*60*24*(10^(-6))*M$2</f>
        <v>38.469859199999995</v>
      </c>
    </row>
    <row r="32" spans="1:13" x14ac:dyDescent="0.3">
      <c r="C32" s="2"/>
    </row>
  </sheetData>
  <mergeCells count="12"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پل آدینان</vt:lpstr>
      <vt:lpstr>دره پنبه دان</vt:lpstr>
      <vt:lpstr>صفاخانه</vt:lpstr>
      <vt:lpstr>کریم آباد</vt:lpstr>
      <vt:lpstr>ورودی به سد (دبی)</vt:lpstr>
      <vt:lpstr>خروجی از سد (دبی)</vt:lpstr>
      <vt:lpstr>ورودی به سد (حجم)</vt:lpstr>
      <vt:lpstr>خروجی از سد (حجم)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2019-06-01T05:52:53Z</dcterms:modified>
</cp:coreProperties>
</file>